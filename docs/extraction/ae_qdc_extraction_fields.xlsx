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E QDC Extraction" sheetId="1" state="visible" r:id="rId3"/>
    <sheet name="Overlap Summary" sheetId="2" state="visible" r:id="rId4"/>
  </sheets>
  <definedNames>
    <definedName function="false" hidden="true" localSheetId="0" name="_xlnm._FilterDatabase" vbProcedure="false">'AE QDC Extraction'!$A$1:$G$50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<sst xmlns="http://schemas.openxmlformats.org/spreadsheetml/2006/main" count="335" uniqueCount="213">
  <si>
    <t xml:space="preserve">Group</t>
  </si>
  <si>
    <t xml:space="preserve">Field</t>
  </si>
  <si>
    <t xml:space="preserve">What it captures</t>
  </si>
  <si>
    <t xml:space="preserve">Stored In (table.column)</t>
  </si>
  <si>
    <t xml:space="preserve">Extracted at QDC</t>
  </si>
  <si>
    <t xml:space="preserve">Overlaps SC field</t>
  </si>
  <si>
    <t xml:space="preserve">Notes</t>
  </si>
  <si>
    <t xml:space="preserve">Qualification flags</t>
  </si>
  <si>
    <t xml:space="preserve">Red flags</t>
  </si>
  <si>
    <t xml:space="preserve">Negative signals / risks to the deal</t>
  </si>
  <si>
    <t xml:space="preserve">deal_analysis.red_flags</t>
  </si>
  <si>
    <t xml:space="preserve">Yes</t>
  </si>
  <si>
    <t xml:space="preserve">AE-only</t>
  </si>
  <si>
    <t xml:space="preserve">Coaching signal</t>
  </si>
  <si>
    <t xml:space="preserve">Green flags</t>
  </si>
  <si>
    <t xml:space="preserve">Positive signals / strengths</t>
  </si>
  <si>
    <t xml:space="preserve">deal_analysis.green_flags</t>
  </si>
  <si>
    <t xml:space="preserve">Pain</t>
  </si>
  <si>
    <t xml:space="preserve">Pain points (summary)</t>
  </si>
  <si>
    <t xml:space="preserve">Narrative summary of pains</t>
  </si>
  <si>
    <t xml:space="preserve">deal_analysis.pain_points</t>
  </si>
  <si>
    <t xml:space="preserve">problems_to_solve</t>
  </si>
  <si>
    <t xml:space="preserve">Same fact as SC</t>
  </si>
  <si>
    <t xml:space="preserve">Pain points (structured)</t>
  </si>
  <si>
    <t xml:space="preserve">Per-pain: cost, hours, team, frequency, impact</t>
  </si>
  <si>
    <t xml:space="preserve">deal_pain_points.*</t>
  </si>
  <si>
    <t xml:space="preserve">SC should read this, not re-list</t>
  </si>
  <si>
    <t xml:space="preserve">Quantified pain</t>
  </si>
  <si>
    <t xml:space="preserve">Pain expressed in $ / hours</t>
  </si>
  <si>
    <t xml:space="preserve">deal_analysis.quantified_pain; deal_pain_points.annual_cost/annual_hours; deal_analysis.running_problem_cost_*</t>
  </si>
  <si>
    <t xml:space="preserve">AE adds quantification SC catalog lacks</t>
  </si>
  <si>
    <t xml:space="preserve">Business impact</t>
  </si>
  <si>
    <t xml:space="preserve">Downstream impact of the pains</t>
  </si>
  <si>
    <t xml:space="preserve">deal_analysis.business_impact</t>
  </si>
  <si>
    <t xml:space="preserve">partial</t>
  </si>
  <si>
    <t xml:space="preserve">Related to SC impact notes</t>
  </si>
  <si>
    <t xml:space="preserve">Drivers / Motivation</t>
  </si>
  <si>
    <t xml:space="preserve">Driving factors</t>
  </si>
  <si>
    <t xml:space="preserve">What is pushing change</t>
  </si>
  <si>
    <t xml:space="preserve">deal_analysis.driving_factors</t>
  </si>
  <si>
    <t xml:space="preserve">driver_for_new_erp</t>
  </si>
  <si>
    <t xml:space="preserve">Feeds SC drivers summary</t>
  </si>
  <si>
    <t xml:space="preserve">Ideal solution</t>
  </si>
  <si>
    <t xml:space="preserve">What success looks like</t>
  </si>
  <si>
    <t xml:space="preserve">deal_analysis.ideal_solution</t>
  </si>
  <si>
    <t xml:space="preserve">success_definition / ideal_solution</t>
  </si>
  <si>
    <t xml:space="preserve">Compelling event</t>
  </si>
  <si>
    <t xml:space="preserve">Consequence of inaction, date, strength</t>
  </si>
  <si>
    <t xml:space="preserve">compelling_events.*</t>
  </si>
  <si>
    <t xml:space="preserve">Yes (flag if none)</t>
  </si>
  <si>
    <t xml:space="preserve">feeds drivers summary</t>
  </si>
  <si>
    <t xml:space="preserve">SC drivers summary synthesizes this</t>
  </si>
  <si>
    <t xml:space="preserve">Business catalyst</t>
  </si>
  <si>
    <t xml:space="preserve">Forces driving change, urgency</t>
  </si>
  <si>
    <t xml:space="preserve">business_catalysts.*</t>
  </si>
  <si>
    <t xml:space="preserve">Decision</t>
  </si>
  <si>
    <t xml:space="preserve">Decision criteria</t>
  </si>
  <si>
    <t xml:space="preserve">How they will decide</t>
  </si>
  <si>
    <t xml:space="preserve">deal_analysis.decision_criteria; deal_decision_criteria.*</t>
  </si>
  <si>
    <t xml:space="preserve">SC catalog has no decision criteria</t>
  </si>
  <si>
    <t xml:space="preserve">Decision process</t>
  </si>
  <si>
    <t xml:space="preserve">Steps in their decision</t>
  </si>
  <si>
    <t xml:space="preserve">deal_analysis.decision_process</t>
  </si>
  <si>
    <t xml:space="preserve">Decision method</t>
  </si>
  <si>
    <t xml:space="preserve">How the decision gets made</t>
  </si>
  <si>
    <t xml:space="preserve">deal_analysis.decision_method</t>
  </si>
  <si>
    <t xml:space="preserve">Stakeholders</t>
  </si>
  <si>
    <t xml:space="preserve">Champion</t>
  </si>
  <si>
    <t xml:space="preserve">Champion identity</t>
  </si>
  <si>
    <t xml:space="preserve">deal_analysis.champion; contacts.is_champion</t>
  </si>
  <si>
    <t xml:space="preserve">Economic buyer</t>
  </si>
  <si>
    <t xml:space="preserve">Economic buyer identity</t>
  </si>
  <si>
    <t xml:space="preserve">deal_analysis.economic_buyer; contacts.is_economic_buyer</t>
  </si>
  <si>
    <t xml:space="preserve">Exec alignment</t>
  </si>
  <si>
    <t xml:space="preserve">Executive sponsor alignment</t>
  </si>
  <si>
    <t xml:space="preserve">deal_analysis.exec_alignment</t>
  </si>
  <si>
    <t xml:space="preserve">Contacts and roles</t>
  </si>
  <si>
    <t xml:space="preserve">Name, title, role, influence, signer/champion/EB, sentiment, alignment, ERP experience, champion/power scores</t>
  </si>
  <si>
    <t xml:space="preserve">contacts.*</t>
  </si>
  <si>
    <t xml:space="preserve">SC org structure (entities/ownership) is different data</t>
  </si>
  <si>
    <t xml:space="preserve">Budget</t>
  </si>
  <si>
    <t xml:space="preserve">Budget amount / status</t>
  </si>
  <si>
    <t xml:space="preserve">deal_analysis.budget</t>
  </si>
  <si>
    <t xml:space="preserve">Budget allocated</t>
  </si>
  <si>
    <t xml:space="preserve">Whether budget is allocated</t>
  </si>
  <si>
    <t xml:space="preserve">deal_analysis.budget_allocated</t>
  </si>
  <si>
    <t xml:space="preserve">Current spend</t>
  </si>
  <si>
    <t xml:space="preserve">What they spend today</t>
  </si>
  <si>
    <t xml:space="preserve">deal_analysis.current_spend</t>
  </si>
  <si>
    <t xml:space="preserve">Timeline</t>
  </si>
  <si>
    <t xml:space="preserve">Decision date</t>
  </si>
  <si>
    <t xml:space="preserve">Target decision date</t>
  </si>
  <si>
    <t xml:space="preserve">deal_analysis.decision_date</t>
  </si>
  <si>
    <t xml:space="preserve">Signature date</t>
  </si>
  <si>
    <t xml:space="preserve">Target signature date</t>
  </si>
  <si>
    <t xml:space="preserve">deal_analysis.signature_date</t>
  </si>
  <si>
    <t xml:space="preserve">Kickoff date</t>
  </si>
  <si>
    <t xml:space="preserve">Target kickoff date</t>
  </si>
  <si>
    <t xml:space="preserve">deal_analysis.kickoff_date</t>
  </si>
  <si>
    <t xml:space="preserve">Go-live date</t>
  </si>
  <si>
    <t xml:space="preserve">Target go-live date</t>
  </si>
  <si>
    <t xml:space="preserve">deal_analysis.go_live_date</t>
  </si>
  <si>
    <t xml:space="preserve">Timeline drivers</t>
  </si>
  <si>
    <t xml:space="preserve">What drives the timing</t>
  </si>
  <si>
    <t xml:space="preserve">deal_analysis.timeline_drivers</t>
  </si>
  <si>
    <t xml:space="preserve">Often tied to compelling event</t>
  </si>
  <si>
    <t xml:space="preserve">Busy season</t>
  </si>
  <si>
    <t xml:space="preserve">When the prospect is slammed</t>
  </si>
  <si>
    <t xml:space="preserve">deal_analysis.busy_season</t>
  </si>
  <si>
    <t xml:space="preserve">Timing context also useful to SC</t>
  </si>
  <si>
    <t xml:space="preserve">Process</t>
  </si>
  <si>
    <t xml:space="preserve">Has RFP</t>
  </si>
  <si>
    <t xml:space="preserve">Is an RFP in play</t>
  </si>
  <si>
    <t xml:space="preserve">deal_analysis.has_rfp</t>
  </si>
  <si>
    <t xml:space="preserve">Has consultant</t>
  </si>
  <si>
    <t xml:space="preserve">Third-party consultant involved</t>
  </si>
  <si>
    <t xml:space="preserve">deal_analysis.has_consultant / consultant_name</t>
  </si>
  <si>
    <t xml:space="preserve">Systems</t>
  </si>
  <si>
    <t xml:space="preserve">Integrations needed</t>
  </si>
  <si>
    <t xml:space="preserve">Required integrations (text summary)</t>
  </si>
  <si>
    <t xml:space="preserve">deal_analysis.integrations_needed; integration_impact</t>
  </si>
  <si>
    <t xml:space="preserve">system_integrations / billing_feed_systems</t>
  </si>
  <si>
    <t xml:space="preserve">Redundant with company_systems too</t>
  </si>
  <si>
    <t xml:space="preserve">Company systems</t>
  </si>
  <si>
    <t xml:space="preserve">Current/needed systems per category</t>
  </si>
  <si>
    <t xml:space="preserve">company_systems.*</t>
  </si>
  <si>
    <t xml:space="preserve">Technology Stack section</t>
  </si>
  <si>
    <t xml:space="preserve">SC stack already routes here</t>
  </si>
  <si>
    <t xml:space="preserve">Competition</t>
  </si>
  <si>
    <t xml:space="preserve">Competitors</t>
  </si>
  <si>
    <t xml:space="preserve">Name, strengths, weaknesses, where in process, received pricing, prior bias, strategy</t>
  </si>
  <si>
    <t xml:space="preserve">deal_competitors.*</t>
  </si>
  <si>
    <t xml:space="preserve">Sizing</t>
  </si>
  <si>
    <t xml:space="preserve">Full users</t>
  </si>
  <si>
    <t xml:space="preserve">Full license user count</t>
  </si>
  <si>
    <t xml:space="preserve">deal_sizing.full_users</t>
  </si>
  <si>
    <t xml:space="preserve">Yes (auto)</t>
  </si>
  <si>
    <t xml:space="preserve">total_users</t>
  </si>
  <si>
    <t xml:space="preserve">REDUNDANT - same fact</t>
  </si>
  <si>
    <t xml:space="preserve">View-only users</t>
  </si>
  <si>
    <t xml:space="preserve">Read-only user count</t>
  </si>
  <si>
    <t xml:space="preserve">deal_sizing.view_only_users</t>
  </si>
  <si>
    <t xml:space="preserve">reporting_readonly_users</t>
  </si>
  <si>
    <t xml:space="preserve">Entity count</t>
  </si>
  <si>
    <t xml:space="preserve">Number of entities</t>
  </si>
  <si>
    <t xml:space="preserve">deal_sizing.entity_count</t>
  </si>
  <si>
    <t xml:space="preserve">entity_count</t>
  </si>
  <si>
    <t xml:space="preserve">AP invoices / month</t>
  </si>
  <si>
    <t xml:space="preserve">Vendor bill volume</t>
  </si>
  <si>
    <t xml:space="preserve">deal_sizing.ap_invoices_monthly</t>
  </si>
  <si>
    <t xml:space="preserve">bills_per_period</t>
  </si>
  <si>
    <t xml:space="preserve">AR invoices / month</t>
  </si>
  <si>
    <t xml:space="preserve">Customer invoice volume</t>
  </si>
  <si>
    <t xml:space="preserve">deal_sizing.ar_invoices_monthly</t>
  </si>
  <si>
    <t xml:space="preserve">SC invoicing volume; no exact field</t>
  </si>
  <si>
    <t xml:space="preserve">Fixed assets</t>
  </si>
  <si>
    <t xml:space="preserve">Number of fixed assets</t>
  </si>
  <si>
    <t xml:space="preserve">deal_sizing.fixed_assets</t>
  </si>
  <si>
    <t xml:space="preserve">fixed_asset_count</t>
  </si>
  <si>
    <t xml:space="preserve">Payroll employees</t>
  </si>
  <si>
    <t xml:space="preserve">Employee count for payroll</t>
  </si>
  <si>
    <t xml:space="preserve">deal_sizing.employee_count_payroll</t>
  </si>
  <si>
    <t xml:space="preserve">related (payroll)</t>
  </si>
  <si>
    <t xml:space="preserve">Related to SC payroll</t>
  </si>
  <si>
    <t xml:space="preserve">Warehouse users</t>
  </si>
  <si>
    <t xml:space="preserve">Warehouse staffing</t>
  </si>
  <si>
    <t xml:space="preserve">deal_sizing.warehouse_users</t>
  </si>
  <si>
    <t xml:space="preserve">related (warehouse_count)</t>
  </si>
  <si>
    <t xml:space="preserve">SC asks warehouse COUNT, not users</t>
  </si>
  <si>
    <t xml:space="preserve">Inventory users</t>
  </si>
  <si>
    <t xml:space="preserve">Inventory staffing</t>
  </si>
  <si>
    <t xml:space="preserve">deal_sizing.inventory_users</t>
  </si>
  <si>
    <t xml:space="preserve">related (inventory)</t>
  </si>
  <si>
    <t xml:space="preserve">Fulfillment users</t>
  </si>
  <si>
    <t xml:space="preserve">Fulfillment staffing</t>
  </si>
  <si>
    <t xml:space="preserve">deal_sizing.fulfillment_users</t>
  </si>
  <si>
    <t xml:space="preserve">related</t>
  </si>
  <si>
    <t xml:space="preserve">Receiving users</t>
  </si>
  <si>
    <t xml:space="preserve">Receiving staffing</t>
  </si>
  <si>
    <t xml:space="preserve">deal_sizing.receiving_users</t>
  </si>
  <si>
    <t xml:space="preserve">Customer count</t>
  </si>
  <si>
    <t xml:space="preserve">Number of customers</t>
  </si>
  <si>
    <t xml:space="preserve">deal_sizing.customer_count</t>
  </si>
  <si>
    <t xml:space="preserve">Order volume / month</t>
  </si>
  <si>
    <t xml:space="preserve">Sales order volume</t>
  </si>
  <si>
    <t xml:space="preserve">deal_sizing.order_volume_monthly</t>
  </si>
  <si>
    <t xml:space="preserve">related (order mgmt)</t>
  </si>
  <si>
    <t xml:space="preserve">Risk</t>
  </si>
  <si>
    <t xml:space="preserve">Deal risks</t>
  </si>
  <si>
    <t xml:space="preserve">Risk, category, severity, status, mitigation</t>
  </si>
  <si>
    <t xml:space="preserve">deal_risks.*</t>
  </si>
  <si>
    <t xml:space="preserve">Scores</t>
  </si>
  <si>
    <t xml:space="preserve">Fit score</t>
  </si>
  <si>
    <t xml:space="preserve">Computed fit</t>
  </si>
  <si>
    <t xml:space="preserve">deal_scores (score_type=fit)</t>
  </si>
  <si>
    <t xml:space="preserve">Post-QDC</t>
  </si>
  <si>
    <t xml:space="preserve">Derived, not a discovery field</t>
  </si>
  <si>
    <t xml:space="preserve">Champion score</t>
  </si>
  <si>
    <t xml:space="preserve">Computed champion strength</t>
  </si>
  <si>
    <t xml:space="preserve">deal_scores (champion); contacts.champion_score</t>
  </si>
  <si>
    <t xml:space="preserve">Derived</t>
  </si>
  <si>
    <t xml:space="preserve">Power score</t>
  </si>
  <si>
    <t xml:space="preserve">Computed access to power</t>
  </si>
  <si>
    <t xml:space="preserve">deal_scores (power); contacts.power_score</t>
  </si>
  <si>
    <t xml:space="preserve">Deal health score</t>
  </si>
  <si>
    <t xml:space="preserve">Computed overall health</t>
  </si>
  <si>
    <t xml:space="preserve">deal_scores (deal_health)</t>
  </si>
  <si>
    <t xml:space="preserve">AE QDC Extraction vs SC Catalog - Overlap</t>
  </si>
  <si>
    <t xml:space="preserve">AE fields total</t>
  </si>
  <si>
    <t xml:space="preserve">Hard redundancies (same fact, amber)</t>
  </si>
  <si>
    <t xml:space="preserve">Feed SC drivers summary</t>
  </si>
  <si>
    <t xml:space="preserve">AE-only (no SC overlap)</t>
  </si>
  <si>
    <t xml:space="preserve">Amber rows = SC catalog re-lists a fact the AE pipeline already captures. Bind SC to these, do not create new fields.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</si>
</sst>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DADE2"/>
        <bgColor rgb="FF9999FF"/>
      </patternFill>
    </fill>
    <fill>
      <patternFill patternType="solid">
        <fgColor rgb="FFFCE9C8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DADE2"/>
          <bgColor rgb="FF000000"/>
        </patternFill>
      </fill>
    </dxf>
    <dxf>
      <fill>
        <patternFill patternType="solid">
          <fgColor rgb="FFFCE9C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9C8"/>
      <rgbColor rgb="FFCCFFFF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DADE2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4" min="3" style="0" width="40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3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7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12</v>
      </c>
      <c r="G3" s="2" t="s">
        <v>13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21</v>
      </c>
      <c r="G4" s="2" t="s">
        <v>22</v>
      </c>
    </row>
    <row r="5" customFormat="false" ht="15" hidden="false" customHeight="false" outlineLevel="0" collapsed="false">
      <c r="A5" s="2" t="s">
        <v>17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21</v>
      </c>
      <c r="G5" s="2" t="s">
        <v>26</v>
      </c>
    </row>
    <row r="6" customFormat="false" ht="35.05" hidden="false" customHeight="false" outlineLevel="0" collapsed="false">
      <c r="A6" s="2" t="s">
        <v>17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30</v>
      </c>
    </row>
    <row r="7" customFormat="false" ht="15" hidden="false" customHeight="false" outlineLevel="0" collapsed="false">
      <c r="A7" s="2" t="s">
        <v>17</v>
      </c>
      <c r="B7" s="2" t="s">
        <v>31</v>
      </c>
      <c r="C7" s="2" t="s">
        <v>32</v>
      </c>
      <c r="D7" s="2" t="s">
        <v>33</v>
      </c>
      <c r="E7" s="2" t="s">
        <v>11</v>
      </c>
      <c r="F7" s="2" t="s">
        <v>34</v>
      </c>
      <c r="G7" s="2" t="s">
        <v>35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s">
        <v>38</v>
      </c>
      <c r="D8" s="2" t="s">
        <v>39</v>
      </c>
      <c r="E8" s="2" t="s">
        <v>11</v>
      </c>
      <c r="F8" s="2" t="s">
        <v>40</v>
      </c>
      <c r="G8" s="2" t="s">
        <v>41</v>
      </c>
    </row>
    <row r="9" customFormat="false" ht="23.85" hidden="false" customHeight="false" outlineLevel="0" collapsed="false">
      <c r="A9" s="2" t="s">
        <v>36</v>
      </c>
      <c r="B9" s="2" t="s">
        <v>42</v>
      </c>
      <c r="C9" s="2" t="s">
        <v>43</v>
      </c>
      <c r="D9" s="2" t="s">
        <v>44</v>
      </c>
      <c r="E9" s="2" t="s">
        <v>11</v>
      </c>
      <c r="F9" s="2" t="s">
        <v>45</v>
      </c>
      <c r="G9" s="2" t="s">
        <v>22</v>
      </c>
    </row>
    <row r="10" customFormat="false" ht="15" hidden="false" customHeight="false" outlineLevel="0" collapsed="false">
      <c r="A10" s="2" t="s">
        <v>36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</row>
    <row r="11" customFormat="false" ht="15" hidden="false" customHeight="false" outlineLevel="0" collapsed="false">
      <c r="A11" s="2" t="s">
        <v>36</v>
      </c>
      <c r="B11" s="2" t="s">
        <v>52</v>
      </c>
      <c r="C11" s="2" t="s">
        <v>53</v>
      </c>
      <c r="D11" s="2" t="s">
        <v>54</v>
      </c>
      <c r="E11" s="2" t="s">
        <v>49</v>
      </c>
      <c r="F11" s="2" t="s">
        <v>40</v>
      </c>
      <c r="G11" s="2" t="s">
        <v>51</v>
      </c>
    </row>
    <row r="12" customFormat="false" ht="23.85" hidden="false" customHeight="false" outlineLevel="0" collapsed="false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11</v>
      </c>
      <c r="F12" s="2" t="s">
        <v>12</v>
      </c>
      <c r="G12" s="2" t="s">
        <v>59</v>
      </c>
    </row>
    <row r="13" customFormat="false" ht="15" hidden="false" customHeight="false" outlineLevel="0" collapsed="false">
      <c r="A13" s="2" t="s">
        <v>55</v>
      </c>
      <c r="B13" s="2" t="s">
        <v>60</v>
      </c>
      <c r="C13" s="2" t="s">
        <v>61</v>
      </c>
      <c r="D13" s="2" t="s">
        <v>62</v>
      </c>
      <c r="E13" s="2" t="s">
        <v>11</v>
      </c>
      <c r="F13" s="2" t="s">
        <v>12</v>
      </c>
      <c r="G13" s="2"/>
    </row>
    <row r="14" customFormat="false" ht="15" hidden="false" customHeight="false" outlineLevel="0" collapsed="false">
      <c r="A14" s="2" t="s">
        <v>55</v>
      </c>
      <c r="B14" s="2" t="s">
        <v>63</v>
      </c>
      <c r="C14" s="2" t="s">
        <v>64</v>
      </c>
      <c r="D14" s="2" t="s">
        <v>65</v>
      </c>
      <c r="E14" s="2" t="s">
        <v>11</v>
      </c>
      <c r="F14" s="2" t="s">
        <v>12</v>
      </c>
      <c r="G14" s="2"/>
    </row>
    <row r="15" customFormat="false" ht="15" hidden="false" customHeight="false" outlineLevel="0" collapsed="false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49</v>
      </c>
      <c r="F15" s="2" t="s">
        <v>12</v>
      </c>
      <c r="G15" s="2"/>
    </row>
    <row r="16" customFormat="false" ht="23.85" hidden="false" customHeight="false" outlineLevel="0" collapsed="false">
      <c r="A16" s="2" t="s">
        <v>66</v>
      </c>
      <c r="B16" s="2" t="s">
        <v>70</v>
      </c>
      <c r="C16" s="2" t="s">
        <v>71</v>
      </c>
      <c r="D16" s="2" t="s">
        <v>72</v>
      </c>
      <c r="E16" s="2" t="s">
        <v>49</v>
      </c>
      <c r="F16" s="2" t="s">
        <v>12</v>
      </c>
      <c r="G16" s="2"/>
    </row>
    <row r="17" customFormat="false" ht="15" hidden="false" customHeight="false" outlineLevel="0" collapsed="false">
      <c r="A17" s="2" t="s">
        <v>66</v>
      </c>
      <c r="B17" s="2" t="s">
        <v>73</v>
      </c>
      <c r="C17" s="2" t="s">
        <v>74</v>
      </c>
      <c r="D17" s="2" t="s">
        <v>75</v>
      </c>
      <c r="E17" s="2" t="s">
        <v>11</v>
      </c>
      <c r="F17" s="2" t="s">
        <v>12</v>
      </c>
      <c r="G17" s="2"/>
    </row>
    <row r="18" customFormat="false" ht="35.05" hidden="false" customHeight="false" outlineLevel="0" collapsed="false">
      <c r="A18" s="2" t="s">
        <v>66</v>
      </c>
      <c r="B18" s="2" t="s">
        <v>76</v>
      </c>
      <c r="C18" s="2" t="s">
        <v>77</v>
      </c>
      <c r="D18" s="2" t="s">
        <v>78</v>
      </c>
      <c r="E18" s="2" t="s">
        <v>11</v>
      </c>
      <c r="F18" s="2" t="s">
        <v>12</v>
      </c>
      <c r="G18" s="2" t="s">
        <v>79</v>
      </c>
    </row>
    <row r="19" customFormat="false" ht="15" hidden="false" customHeight="false" outlineLevel="0" collapsed="false">
      <c r="A19" s="2" t="s">
        <v>80</v>
      </c>
      <c r="B19" s="2" t="s">
        <v>80</v>
      </c>
      <c r="C19" s="2" t="s">
        <v>81</v>
      </c>
      <c r="D19" s="2" t="s">
        <v>82</v>
      </c>
      <c r="E19" s="2" t="s">
        <v>11</v>
      </c>
      <c r="F19" s="2" t="s">
        <v>12</v>
      </c>
      <c r="G19" s="2"/>
    </row>
    <row r="20" customFormat="false" ht="15" hidden="false" customHeight="false" outlineLevel="0" collapsed="false">
      <c r="A20" s="2" t="s">
        <v>80</v>
      </c>
      <c r="B20" s="2" t="s">
        <v>83</v>
      </c>
      <c r="C20" s="2" t="s">
        <v>84</v>
      </c>
      <c r="D20" s="2" t="s">
        <v>85</v>
      </c>
      <c r="E20" s="2" t="s">
        <v>11</v>
      </c>
      <c r="F20" s="2" t="s">
        <v>12</v>
      </c>
      <c r="G20" s="2"/>
    </row>
    <row r="21" customFormat="false" ht="15" hidden="false" customHeight="false" outlineLevel="0" collapsed="false">
      <c r="A21" s="2" t="s">
        <v>80</v>
      </c>
      <c r="B21" s="2" t="s">
        <v>86</v>
      </c>
      <c r="C21" s="2" t="s">
        <v>87</v>
      </c>
      <c r="D21" s="2" t="s">
        <v>88</v>
      </c>
      <c r="E21" s="2" t="s">
        <v>11</v>
      </c>
      <c r="F21" s="2" t="s">
        <v>12</v>
      </c>
      <c r="G21" s="2"/>
    </row>
    <row r="22" customFormat="false" ht="15" hidden="false" customHeight="false" outlineLevel="0" collapsed="false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11</v>
      </c>
      <c r="F22" s="2" t="s">
        <v>12</v>
      </c>
      <c r="G22" s="2"/>
    </row>
    <row r="23" customFormat="false" ht="15" hidden="false" customHeight="false" outlineLevel="0" collapsed="false">
      <c r="A23" s="2" t="s">
        <v>89</v>
      </c>
      <c r="B23" s="2" t="s">
        <v>93</v>
      </c>
      <c r="C23" s="2" t="s">
        <v>94</v>
      </c>
      <c r="D23" s="2" t="s">
        <v>95</v>
      </c>
      <c r="E23" s="2" t="s">
        <v>11</v>
      </c>
      <c r="F23" s="2" t="s">
        <v>12</v>
      </c>
      <c r="G23" s="2"/>
    </row>
    <row r="24" customFormat="false" ht="15" hidden="false" customHeight="false" outlineLevel="0" collapsed="false">
      <c r="A24" s="2" t="s">
        <v>89</v>
      </c>
      <c r="B24" s="2" t="s">
        <v>96</v>
      </c>
      <c r="C24" s="2" t="s">
        <v>97</v>
      </c>
      <c r="D24" s="2" t="s">
        <v>98</v>
      </c>
      <c r="E24" s="2" t="s">
        <v>11</v>
      </c>
      <c r="F24" s="2" t="s">
        <v>12</v>
      </c>
      <c r="G24" s="2"/>
    </row>
    <row r="25" customFormat="false" ht="15" hidden="false" customHeight="false" outlineLevel="0" collapsed="false">
      <c r="A25" s="2" t="s">
        <v>89</v>
      </c>
      <c r="B25" s="2" t="s">
        <v>99</v>
      </c>
      <c r="C25" s="2" t="s">
        <v>100</v>
      </c>
      <c r="D25" s="2" t="s">
        <v>101</v>
      </c>
      <c r="E25" s="2" t="s">
        <v>11</v>
      </c>
      <c r="F25" s="2" t="s">
        <v>12</v>
      </c>
      <c r="G25" s="2"/>
    </row>
    <row r="26" customFormat="false" ht="15" hidden="false" customHeight="false" outlineLevel="0" collapsed="false">
      <c r="A26" s="2" t="s">
        <v>89</v>
      </c>
      <c r="B26" s="2" t="s">
        <v>102</v>
      </c>
      <c r="C26" s="2" t="s">
        <v>103</v>
      </c>
      <c r="D26" s="2" t="s">
        <v>104</v>
      </c>
      <c r="E26" s="2" t="s">
        <v>11</v>
      </c>
      <c r="F26" s="2" t="s">
        <v>12</v>
      </c>
      <c r="G26" s="2" t="s">
        <v>105</v>
      </c>
    </row>
    <row r="27" customFormat="false" ht="15" hidden="false" customHeight="false" outlineLevel="0" collapsed="false">
      <c r="A27" s="2" t="s">
        <v>89</v>
      </c>
      <c r="B27" s="2" t="s">
        <v>106</v>
      </c>
      <c r="C27" s="2" t="s">
        <v>107</v>
      </c>
      <c r="D27" s="2" t="s">
        <v>108</v>
      </c>
      <c r="E27" s="2" t="s">
        <v>11</v>
      </c>
      <c r="F27" s="2" t="s">
        <v>34</v>
      </c>
      <c r="G27" s="2" t="s">
        <v>109</v>
      </c>
    </row>
    <row r="28" customFormat="false" ht="15" hidden="false" customHeight="false" outlineLevel="0" collapsed="false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11</v>
      </c>
      <c r="F28" s="2" t="s">
        <v>12</v>
      </c>
      <c r="G28" s="2"/>
    </row>
    <row r="29" customFormat="false" ht="15" hidden="false" customHeight="false" outlineLevel="0" collapsed="false">
      <c r="A29" s="2" t="s">
        <v>110</v>
      </c>
      <c r="B29" s="2" t="s">
        <v>114</v>
      </c>
      <c r="C29" s="2" t="s">
        <v>115</v>
      </c>
      <c r="D29" s="2" t="s">
        <v>116</v>
      </c>
      <c r="E29" s="2" t="s">
        <v>11</v>
      </c>
      <c r="F29" s="2" t="s">
        <v>12</v>
      </c>
      <c r="G29" s="2"/>
    </row>
    <row r="30" customFormat="false" ht="23.85" hidden="false" customHeight="false" outlineLevel="0" collapsed="false">
      <c r="A30" s="2" t="s">
        <v>117</v>
      </c>
      <c r="B30" s="2" t="s">
        <v>118</v>
      </c>
      <c r="C30" s="2" t="s">
        <v>119</v>
      </c>
      <c r="D30" s="2" t="s">
        <v>120</v>
      </c>
      <c r="E30" s="2" t="s">
        <v>11</v>
      </c>
      <c r="F30" s="2" t="s">
        <v>121</v>
      </c>
      <c r="G30" s="2" t="s">
        <v>122</v>
      </c>
    </row>
    <row r="31" customFormat="false" ht="15" hidden="false" customHeight="false" outlineLevel="0" collapsed="false">
      <c r="A31" s="2" t="s">
        <v>117</v>
      </c>
      <c r="B31" s="2" t="s">
        <v>123</v>
      </c>
      <c r="C31" s="2" t="s">
        <v>124</v>
      </c>
      <c r="D31" s="2" t="s">
        <v>125</v>
      </c>
      <c r="E31" s="2" t="s">
        <v>11</v>
      </c>
      <c r="F31" s="2" t="s">
        <v>126</v>
      </c>
      <c r="G31" s="2" t="s">
        <v>127</v>
      </c>
    </row>
    <row r="32" customFormat="false" ht="23.85" hidden="false" customHeight="false" outlineLevel="0" collapsed="false">
      <c r="A32" s="2" t="s">
        <v>128</v>
      </c>
      <c r="B32" s="2" t="s">
        <v>129</v>
      </c>
      <c r="C32" s="2" t="s">
        <v>130</v>
      </c>
      <c r="D32" s="2" t="s">
        <v>131</v>
      </c>
      <c r="E32" s="2" t="s">
        <v>11</v>
      </c>
      <c r="F32" s="2" t="s">
        <v>12</v>
      </c>
      <c r="G32" s="2"/>
    </row>
    <row r="33" customFormat="false" ht="15" hidden="false" customHeight="false" outlineLevel="0" collapsed="false">
      <c r="A33" s="3" t="s">
        <v>132</v>
      </c>
      <c r="B33" s="3" t="s">
        <v>133</v>
      </c>
      <c r="C33" s="3" t="s">
        <v>134</v>
      </c>
      <c r="D33" s="3" t="s">
        <v>135</v>
      </c>
      <c r="E33" s="3" t="s">
        <v>136</v>
      </c>
      <c r="F33" s="3" t="s">
        <v>137</v>
      </c>
      <c r="G33" s="3" t="s">
        <v>138</v>
      </c>
    </row>
    <row r="34" customFormat="false" ht="15" hidden="false" customHeight="false" outlineLevel="0" collapsed="false">
      <c r="A34" s="3" t="s">
        <v>132</v>
      </c>
      <c r="B34" s="3" t="s">
        <v>139</v>
      </c>
      <c r="C34" s="3" t="s">
        <v>140</v>
      </c>
      <c r="D34" s="3" t="s">
        <v>141</v>
      </c>
      <c r="E34" s="3" t="s">
        <v>136</v>
      </c>
      <c r="F34" s="3" t="s">
        <v>142</v>
      </c>
      <c r="G34" s="3" t="s">
        <v>138</v>
      </c>
    </row>
    <row r="35" customFormat="false" ht="15" hidden="false" customHeight="false" outlineLevel="0" collapsed="false">
      <c r="A35" s="3" t="s">
        <v>132</v>
      </c>
      <c r="B35" s="3" t="s">
        <v>143</v>
      </c>
      <c r="C35" s="3" t="s">
        <v>144</v>
      </c>
      <c r="D35" s="3" t="s">
        <v>145</v>
      </c>
      <c r="E35" s="3" t="s">
        <v>136</v>
      </c>
      <c r="F35" s="3" t="s">
        <v>146</v>
      </c>
      <c r="G35" s="3" t="s">
        <v>138</v>
      </c>
    </row>
    <row r="36" customFormat="false" ht="15" hidden="false" customHeight="false" outlineLevel="0" collapsed="false">
      <c r="A36" s="3" t="s">
        <v>132</v>
      </c>
      <c r="B36" s="3" t="s">
        <v>147</v>
      </c>
      <c r="C36" s="3" t="s">
        <v>148</v>
      </c>
      <c r="D36" s="3" t="s">
        <v>149</v>
      </c>
      <c r="E36" s="3" t="s">
        <v>136</v>
      </c>
      <c r="F36" s="3" t="s">
        <v>150</v>
      </c>
      <c r="G36" s="3" t="s">
        <v>138</v>
      </c>
    </row>
    <row r="37" customFormat="false" ht="15" hidden="false" customHeight="false" outlineLevel="0" collapsed="false">
      <c r="A37" s="2" t="s">
        <v>132</v>
      </c>
      <c r="B37" s="2" t="s">
        <v>151</v>
      </c>
      <c r="C37" s="2" t="s">
        <v>152</v>
      </c>
      <c r="D37" s="2" t="s">
        <v>153</v>
      </c>
      <c r="E37" s="2" t="s">
        <v>136</v>
      </c>
      <c r="F37" s="2" t="s">
        <v>34</v>
      </c>
      <c r="G37" s="2" t="s">
        <v>154</v>
      </c>
    </row>
    <row r="38" customFormat="false" ht="15" hidden="false" customHeight="false" outlineLevel="0" collapsed="false">
      <c r="A38" s="3" t="s">
        <v>132</v>
      </c>
      <c r="B38" s="3" t="s">
        <v>155</v>
      </c>
      <c r="C38" s="3" t="s">
        <v>156</v>
      </c>
      <c r="D38" s="3" t="s">
        <v>157</v>
      </c>
      <c r="E38" s="3" t="s">
        <v>136</v>
      </c>
      <c r="F38" s="3" t="s">
        <v>158</v>
      </c>
      <c r="G38" s="3" t="s">
        <v>138</v>
      </c>
    </row>
    <row r="39" customFormat="false" ht="15" hidden="false" customHeight="false" outlineLevel="0" collapsed="false">
      <c r="A39" s="2" t="s">
        <v>132</v>
      </c>
      <c r="B39" s="2" t="s">
        <v>159</v>
      </c>
      <c r="C39" s="2" t="s">
        <v>160</v>
      </c>
      <c r="D39" s="2" t="s">
        <v>161</v>
      </c>
      <c r="E39" s="2" t="s">
        <v>136</v>
      </c>
      <c r="F39" s="2" t="s">
        <v>162</v>
      </c>
      <c r="G39" s="2" t="s">
        <v>163</v>
      </c>
    </row>
    <row r="40" customFormat="false" ht="15" hidden="false" customHeight="false" outlineLevel="0" collapsed="false">
      <c r="A40" s="2" t="s">
        <v>132</v>
      </c>
      <c r="B40" s="2" t="s">
        <v>164</v>
      </c>
      <c r="C40" s="2" t="s">
        <v>165</v>
      </c>
      <c r="D40" s="2" t="s">
        <v>166</v>
      </c>
      <c r="E40" s="2" t="s">
        <v>136</v>
      </c>
      <c r="F40" s="2" t="s">
        <v>167</v>
      </c>
      <c r="G40" s="2" t="s">
        <v>168</v>
      </c>
    </row>
    <row r="41" customFormat="false" ht="15" hidden="false" customHeight="false" outlineLevel="0" collapsed="false">
      <c r="A41" s="2" t="s">
        <v>132</v>
      </c>
      <c r="B41" s="2" t="s">
        <v>169</v>
      </c>
      <c r="C41" s="2" t="s">
        <v>170</v>
      </c>
      <c r="D41" s="2" t="s">
        <v>171</v>
      </c>
      <c r="E41" s="2" t="s">
        <v>136</v>
      </c>
      <c r="F41" s="2" t="s">
        <v>172</v>
      </c>
      <c r="G41" s="2"/>
    </row>
    <row r="42" customFormat="false" ht="15" hidden="false" customHeight="false" outlineLevel="0" collapsed="false">
      <c r="A42" s="2" t="s">
        <v>132</v>
      </c>
      <c r="B42" s="2" t="s">
        <v>173</v>
      </c>
      <c r="C42" s="2" t="s">
        <v>174</v>
      </c>
      <c r="D42" s="2" t="s">
        <v>175</v>
      </c>
      <c r="E42" s="2" t="s">
        <v>136</v>
      </c>
      <c r="F42" s="2" t="s">
        <v>176</v>
      </c>
      <c r="G42" s="2"/>
    </row>
    <row r="43" customFormat="false" ht="15" hidden="false" customHeight="false" outlineLevel="0" collapsed="false">
      <c r="A43" s="2" t="s">
        <v>132</v>
      </c>
      <c r="B43" s="2" t="s">
        <v>177</v>
      </c>
      <c r="C43" s="2" t="s">
        <v>178</v>
      </c>
      <c r="D43" s="2" t="s">
        <v>179</v>
      </c>
      <c r="E43" s="2" t="s">
        <v>136</v>
      </c>
      <c r="F43" s="2" t="s">
        <v>176</v>
      </c>
      <c r="G43" s="2"/>
    </row>
    <row r="44" customFormat="false" ht="15" hidden="false" customHeight="false" outlineLevel="0" collapsed="false">
      <c r="A44" s="2" t="s">
        <v>132</v>
      </c>
      <c r="B44" s="2" t="s">
        <v>180</v>
      </c>
      <c r="C44" s="2" t="s">
        <v>181</v>
      </c>
      <c r="D44" s="2" t="s">
        <v>182</v>
      </c>
      <c r="E44" s="2" t="s">
        <v>136</v>
      </c>
      <c r="F44" s="2" t="s">
        <v>12</v>
      </c>
      <c r="G44" s="2"/>
    </row>
    <row r="45" customFormat="false" ht="15" hidden="false" customHeight="false" outlineLevel="0" collapsed="false">
      <c r="A45" s="2" t="s">
        <v>132</v>
      </c>
      <c r="B45" s="2" t="s">
        <v>183</v>
      </c>
      <c r="C45" s="2" t="s">
        <v>184</v>
      </c>
      <c r="D45" s="2" t="s">
        <v>185</v>
      </c>
      <c r="E45" s="2" t="s">
        <v>136</v>
      </c>
      <c r="F45" s="2" t="s">
        <v>186</v>
      </c>
      <c r="G45" s="2"/>
    </row>
    <row r="46" customFormat="false" ht="15" hidden="false" customHeight="false" outlineLevel="0" collapsed="false">
      <c r="A46" s="2" t="s">
        <v>187</v>
      </c>
      <c r="B46" s="2" t="s">
        <v>188</v>
      </c>
      <c r="C46" s="2" t="s">
        <v>189</v>
      </c>
      <c r="D46" s="2" t="s">
        <v>190</v>
      </c>
      <c r="E46" s="2" t="s">
        <v>11</v>
      </c>
      <c r="F46" s="2" t="s">
        <v>12</v>
      </c>
      <c r="G46" s="2"/>
    </row>
    <row r="47" customFormat="false" ht="15" hidden="false" customHeight="false" outlineLevel="0" collapsed="false">
      <c r="A47" s="2" t="s">
        <v>191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s">
        <v>12</v>
      </c>
      <c r="G47" s="2" t="s">
        <v>196</v>
      </c>
    </row>
    <row r="48" customFormat="false" ht="23.85" hidden="false" customHeight="false" outlineLevel="0" collapsed="false">
      <c r="A48" s="2" t="s">
        <v>191</v>
      </c>
      <c r="B48" s="2" t="s">
        <v>197</v>
      </c>
      <c r="C48" s="2" t="s">
        <v>198</v>
      </c>
      <c r="D48" s="2" t="s">
        <v>199</v>
      </c>
      <c r="E48" s="2" t="s">
        <v>195</v>
      </c>
      <c r="F48" s="2" t="s">
        <v>12</v>
      </c>
      <c r="G48" s="2" t="s">
        <v>200</v>
      </c>
    </row>
    <row r="49" customFormat="false" ht="15" hidden="false" customHeight="false" outlineLevel="0" collapsed="false">
      <c r="A49" s="2" t="s">
        <v>191</v>
      </c>
      <c r="B49" s="2" t="s">
        <v>201</v>
      </c>
      <c r="C49" s="2" t="s">
        <v>202</v>
      </c>
      <c r="D49" s="2" t="s">
        <v>203</v>
      </c>
      <c r="E49" s="2" t="s">
        <v>195</v>
      </c>
      <c r="F49" s="2" t="s">
        <v>12</v>
      </c>
      <c r="G49" s="2" t="s">
        <v>200</v>
      </c>
    </row>
    <row r="50" customFormat="false" ht="15" hidden="false" customHeight="false" outlineLevel="0" collapsed="false">
      <c r="A50" s="2" t="s">
        <v>191</v>
      </c>
      <c r="B50" s="2" t="s">
        <v>204</v>
      </c>
      <c r="C50" s="2" t="s">
        <v>205</v>
      </c>
      <c r="D50" s="2" t="s">
        <v>206</v>
      </c>
      <c r="E50" s="2" t="s">
        <v>195</v>
      </c>
      <c r="F50" s="2" t="s">
        <v>12</v>
      </c>
      <c r="G50" s="2" t="s">
        <v>200</v>
      </c>
    </row>
  </sheetData>
  <autoFilter ref="A1:G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</cols>
  <sheetData>
    <row r="1" customFormat="false" ht="16.15" hidden="false" customHeight="false" outlineLevel="0" collapsed="false">
      <c r="A1" s="4" t="s">
        <v>207</v>
      </c>
    </row>
    <row r="3" customFormat="false" ht="15" hidden="false" customHeight="false" outlineLevel="0" collapsed="false">
      <c r="A3" s="0" t="s">
        <v>208</v>
      </c>
      <c r="B3" s="0" t="n">
        <f aca="false">COUNTA('AE QDC Extraction'!B2:B50)</f>
        <v>49</v>
      </c>
    </row>
    <row r="4" customFormat="false" ht="15" hidden="false" customHeight="false" outlineLevel="0" collapsed="false">
      <c r="A4" s="0" t="s">
        <v>209</v>
      </c>
      <c r="B4" s="0" t="n">
        <f aca="false">COUNTIF('AE QDC Extraction'!G2:G50,"REDUNDANT*")</f>
        <v>6</v>
      </c>
    </row>
    <row r="5" customFormat="false" ht="15" hidden="false" customHeight="false" outlineLevel="0" collapsed="false">
      <c r="A5" s="0" t="s">
        <v>210</v>
      </c>
      <c r="B5" s="0" t="n">
        <f aca="false">COUNTIF('AE QDC Extraction'!F2:F50,"*driver*")+COUNTIF('AE QDC Extraction'!F2:F50,"feeds drivers summary")</f>
        <v>4</v>
      </c>
    </row>
    <row r="6" customFormat="false" ht="15" hidden="false" customHeight="false" outlineLevel="0" collapsed="false">
      <c r="A6" s="0" t="s">
        <v>211</v>
      </c>
      <c r="B6" s="0" t="n">
        <f aca="false">COUNTIF('AE QDC Extraction'!F2:F50,"AE-only")</f>
        <v>27</v>
      </c>
    </row>
    <row r="8" customFormat="false" ht="15" hidden="false" customHeight="false" outlineLevel="0" collapsed="false">
      <c r="A8" s="5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2026-06-09T22:37:21Z</dcterms:created>
  <dc:creator>openpyxl</dc:creator>
  <dc:description/>
  <dc:language>en-US</dc:language>
  <cp:lastModifiedBy/>
  <dcterms:modified xsi:type="dcterms:W3CDTF">2026-06-09T22:37:21Z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