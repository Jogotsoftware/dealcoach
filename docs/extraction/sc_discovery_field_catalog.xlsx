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 Catalog" sheetId="1" state="visible" r:id="rId3"/>
    <sheet name="Summary" sheetId="2" state="visible" r:id="rId4"/>
  </sheets>
  <definedNames>
    <definedName function="false" hidden="true" localSheetId="0" name="_xlnm._FilterDatabase" vbProcedure="false">'Field Catalog'!$A$1:$H$95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<sst xmlns="http://schemas.openxmlformats.org/spreadsheetml/2006/main" count="701" uniqueCount="251">
  <si>
    <t xml:space="preserve">Section</t>
  </si>
  <si>
    <t xml:space="preserve">Question</t>
  </si>
  <si>
    <t xml:space="preserve">Proposed field_key</t>
  </si>
  <si>
    <t xml:space="preserve">Value Type</t>
  </si>
  <si>
    <t xml:space="preserve">Applicability</t>
  </si>
  <si>
    <t xml:space="preserve">Stored In</t>
  </si>
  <si>
    <t xml:space="preserve">Keep? (Y/N)</t>
  </si>
  <si>
    <t xml:space="preserve">Notes</t>
  </si>
  <si>
    <t xml:space="preserve">Business Drivers &amp; ERP Motivation</t>
  </si>
  <si>
    <t xml:space="preserve">What is driving the need for a new ERP?</t>
  </si>
  <si>
    <t xml:space="preserve">driver_for_new_erp</t>
  </si>
  <si>
    <t xml:space="preserve">text</t>
  </si>
  <si>
    <t xml:space="preserve">always</t>
  </si>
  <si>
    <t xml:space="preserve">existing AE extraction</t>
  </si>
  <si>
    <t xml:space="preserve">Y</t>
  </si>
  <si>
    <t xml:space="preserve">Catalyst (business_catalysts / driving_factors)</t>
  </si>
  <si>
    <t xml:space="preserve">What problems are you trying to solve today?</t>
  </si>
  <si>
    <t xml:space="preserve">problems_to_solve</t>
  </si>
  <si>
    <t xml:space="preserve">list</t>
  </si>
  <si>
    <t xml:space="preserve">deal_pain_points</t>
  </si>
  <si>
    <t xml:space="preserve">What does success look like with a new system?</t>
  </si>
  <si>
    <t xml:space="preserve">success_definition</t>
  </si>
  <si>
    <t xml:space="preserve">deal_analysis.ideal_solution</t>
  </si>
  <si>
    <t xml:space="preserve">What would your ideal solution look like?</t>
  </si>
  <si>
    <t xml:space="preserve">ideal_solution</t>
  </si>
  <si>
    <t xml:space="preserve">What do you need Sage Intacct to manage for you?</t>
  </si>
  <si>
    <t xml:space="preserve">required_capabilities</t>
  </si>
  <si>
    <t xml:space="preserve">deal attribute (new)</t>
  </si>
  <si>
    <t xml:space="preserve">Scope / fit</t>
  </si>
  <si>
    <t xml:space="preserve">Company &amp; Organizational Structure</t>
  </si>
  <si>
    <t xml:space="preserve">How many entities do you have?</t>
  </si>
  <si>
    <t xml:space="preserve">entity_count</t>
  </si>
  <si>
    <t xml:space="preserve">number</t>
  </si>
  <si>
    <t xml:space="preserve">QuoteBuilder sizing</t>
  </si>
  <si>
    <t xml:space="preserve">What revenue streams do you have?</t>
  </si>
  <si>
    <t xml:space="preserve">revenue_streams</t>
  </si>
  <si>
    <t xml:space="preserve">Is there shared ownership across entities?</t>
  </si>
  <si>
    <t xml:space="preserve">shared_ownership</t>
  </si>
  <si>
    <t xml:space="preserve">boolean</t>
  </si>
  <si>
    <t xml:space="preserve">Where are entities located by country and currency?</t>
  </si>
  <si>
    <t xml:space="preserve">entity_locations_currencies</t>
  </si>
  <si>
    <t xml:space="preserve">Multi-currency = fit signal</t>
  </si>
  <si>
    <t xml:space="preserve">Do you use a shared chart of accounts?</t>
  </si>
  <si>
    <t xml:space="preserve">shared_chart_of_accounts</t>
  </si>
  <si>
    <t xml:space="preserve">How are you handling inter-entity accounting today?</t>
  </si>
  <si>
    <t xml:space="preserve">interentity_accounting_today</t>
  </si>
  <si>
    <t xml:space="preserve">Fit signal</t>
  </si>
  <si>
    <t xml:space="preserve">Users &amp; Access</t>
  </si>
  <si>
    <t xml:space="preserve">How many total users will be in the system?</t>
  </si>
  <si>
    <t xml:space="preserve">total_users</t>
  </si>
  <si>
    <t xml:space="preserve">How many users need reporting or read-only access?</t>
  </si>
  <si>
    <t xml:space="preserve">reporting_readonly_users</t>
  </si>
  <si>
    <t xml:space="preserve">Current Technology Stack</t>
  </si>
  <si>
    <t xml:space="preserve">What accounting or ERP system are you using today?</t>
  </si>
  <si>
    <t xml:space="preserve">system_accounting_erp</t>
  </si>
  <si>
    <t xml:space="preserve">company_systems</t>
  </si>
  <si>
    <t xml:space="preserve">system_category=accounting</t>
  </si>
  <si>
    <t xml:space="preserve">What payroll system are you using?</t>
  </si>
  <si>
    <t xml:space="preserve">system_payroll</t>
  </si>
  <si>
    <t xml:space="preserve">system_category=payroll</t>
  </si>
  <si>
    <t xml:space="preserve">What order management system do you use?</t>
  </si>
  <si>
    <t xml:space="preserve">system_order_management</t>
  </si>
  <si>
    <t xml:space="preserve">system_category=order_management</t>
  </si>
  <si>
    <t xml:space="preserve">What ticketing or operational systems are in place?</t>
  </si>
  <si>
    <t xml:space="preserve">system_operational</t>
  </si>
  <si>
    <t xml:space="preserve">system_category=operational</t>
  </si>
  <si>
    <t xml:space="preserve">What other systems integrate with accounting today?</t>
  </si>
  <si>
    <t xml:space="preserve">system_integrations</t>
  </si>
  <si>
    <t xml:space="preserve">Integration scope</t>
  </si>
  <si>
    <t xml:space="preserve">Financial &amp; Accounting Foundations</t>
  </si>
  <si>
    <t xml:space="preserve">What is your fiscal year structure (12 months, 13 periods)?</t>
  </si>
  <si>
    <t xml:space="preserve">fiscal_year_structure</t>
  </si>
  <si>
    <t xml:space="preserve">What accounting method do you use (cash, accrual, both)?</t>
  </si>
  <si>
    <t xml:space="preserve">accounting_method</t>
  </si>
  <si>
    <t xml:space="preserve">How is payroll handled today?</t>
  </si>
  <si>
    <t xml:space="preserve">payroll_handling</t>
  </si>
  <si>
    <t xml:space="preserve">Overlaps system_payroll</t>
  </si>
  <si>
    <t xml:space="preserve">How do you manage sales tax?</t>
  </si>
  <si>
    <t xml:space="preserve">sales_tax_management</t>
  </si>
  <si>
    <t xml:space="preserve">What does your internal control environment look like?</t>
  </si>
  <si>
    <t xml:space="preserve">internal_controls</t>
  </si>
  <si>
    <t xml:space="preserve">Month-End Close</t>
  </si>
  <si>
    <t xml:space="preserve">How long does it take you to close a month?</t>
  </si>
  <si>
    <t xml:space="preserve">close_duration_days</t>
  </si>
  <si>
    <t xml:space="preserve">Pain / fit metric</t>
  </si>
  <si>
    <t xml:space="preserve">What are the biggest bottlenecks in the close process?</t>
  </si>
  <si>
    <t xml:space="preserve">close_bottlenecks</t>
  </si>
  <si>
    <t xml:space="preserve">Where do delays typically occur?</t>
  </si>
  <si>
    <t xml:space="preserve">close_delay_points</t>
  </si>
  <si>
    <t xml:space="preserve">Reporting &amp; Data Confidence</t>
  </si>
  <si>
    <t xml:space="preserve">What reports do you review most often today?</t>
  </si>
  <si>
    <t xml:space="preserve">key_reports</t>
  </si>
  <si>
    <t xml:space="preserve">What are you using those reports to analyze or decide?</t>
  </si>
  <si>
    <t xml:space="preserve">report_decision_usage</t>
  </si>
  <si>
    <t xml:space="preserve">How confident are you in the data you are using?</t>
  </si>
  <si>
    <t xml:space="preserve">data_confidence</t>
  </si>
  <si>
    <t xml:space="preserve">How is your data segmented (classes, departments, crews, dimensions)?</t>
  </si>
  <si>
    <t xml:space="preserve">data_segmentation</t>
  </si>
  <si>
    <t xml:space="preserve">Dimensions = fit signal</t>
  </si>
  <si>
    <t xml:space="preserve">What reporting would you ideally want to see?</t>
  </si>
  <si>
    <t xml:space="preserve">desired_reporting</t>
  </si>
  <si>
    <t xml:space="preserve">What do you use Excel for today?</t>
  </si>
  <si>
    <t xml:space="preserve">excel_usage</t>
  </si>
  <si>
    <t xml:space="preserve">Are you using pivot tables or offline analysis?</t>
  </si>
  <si>
    <t xml:space="preserve">pivot_offline_analysis</t>
  </si>
  <si>
    <t xml:space="preserve">What types of charts and graphs do you rely on?</t>
  </si>
  <si>
    <t xml:space="preserve">charts_used</t>
  </si>
  <si>
    <t xml:space="preserve">If you had a magic wand, what insight would you want instantly?</t>
  </si>
  <si>
    <t xml:space="preserve">wishlist_insight</t>
  </si>
  <si>
    <t xml:space="preserve">Revenue, Billing &amp; Invoicing</t>
  </si>
  <si>
    <t xml:space="preserve">Can you walk me through how you make money?</t>
  </si>
  <si>
    <t xml:space="preserve">revenue_model</t>
  </si>
  <si>
    <t xml:space="preserve">How does invoicing and accounts receivable work today?</t>
  </si>
  <si>
    <t xml:space="preserve">invoicing_ar_process</t>
  </si>
  <si>
    <t xml:space="preserve">What items are billable?</t>
  </si>
  <si>
    <t xml:space="preserve">billable_items</t>
  </si>
  <si>
    <t xml:space="preserve">Are any external systems feeding billing data?</t>
  </si>
  <si>
    <t xml:space="preserve">billing_feed_systems</t>
  </si>
  <si>
    <t xml:space="preserve">Overlaps system_integrations</t>
  </si>
  <si>
    <t xml:space="preserve">How are billing rates calculated?</t>
  </si>
  <si>
    <t xml:space="preserve">billing_rate_method</t>
  </si>
  <si>
    <t xml:space="preserve">How are taxes applied to invoices?</t>
  </si>
  <si>
    <t xml:space="preserve">invoice_tax_handling</t>
  </si>
  <si>
    <t xml:space="preserve">What revenue recognition method do you use?</t>
  </si>
  <si>
    <t xml:space="preserve">revenue_recognition_method</t>
  </si>
  <si>
    <t xml:space="preserve">Is billing structured across entities or intercompany?</t>
  </si>
  <si>
    <t xml:space="preserve">intercompany_billing</t>
  </si>
  <si>
    <t xml:space="preserve">What does your end-to-end invoicing process look like?</t>
  </si>
  <si>
    <t xml:space="preserve">invoicing_process_end_to_end</t>
  </si>
  <si>
    <t xml:space="preserve">Banking &amp; Cash Management</t>
  </si>
  <si>
    <t xml:space="preserve">What bank are you using today?</t>
  </si>
  <si>
    <t xml:space="preserve">bank</t>
  </si>
  <si>
    <t xml:space="preserve">What credit cards are in use?</t>
  </si>
  <si>
    <t xml:space="preserve">credit_cards</t>
  </si>
  <si>
    <t xml:space="preserve">How do you feel about your current bank reconciliation process?</t>
  </si>
  <si>
    <t xml:space="preserve">bank_rec_sentiment</t>
  </si>
  <si>
    <t xml:space="preserve">How do you feel about your current credit card reconciliation process?</t>
  </si>
  <si>
    <t xml:space="preserve">cc_rec_sentiment</t>
  </si>
  <si>
    <t xml:space="preserve">Payables, Purchasing &amp; Expenses</t>
  </si>
  <si>
    <t xml:space="preserve">How does payables work for rent, utilities, and other recurring expenses?</t>
  </si>
  <si>
    <t xml:space="preserve">ap_recurring_process</t>
  </si>
  <si>
    <t xml:space="preserve">What does the approval process look like?</t>
  </si>
  <si>
    <t xml:space="preserve">ap_approval_process</t>
  </si>
  <si>
    <t xml:space="preserve">How are vendor bills paid today?</t>
  </si>
  <si>
    <t xml:space="preserve">vendor_payment_methods</t>
  </si>
  <si>
    <t xml:space="preserve">How do vendor bills get into the system?</t>
  </si>
  <si>
    <t xml:space="preserve">bill_intake_method</t>
  </si>
  <si>
    <t xml:space="preserve">How many bills are you processing in a typical period?</t>
  </si>
  <si>
    <t xml:space="preserve">bills_per_period</t>
  </si>
  <si>
    <t xml:space="preserve">Volume = sizing</t>
  </si>
  <si>
    <t xml:space="preserve">What payment methods are you using?</t>
  </si>
  <si>
    <t xml:space="preserve">payment_methods</t>
  </si>
  <si>
    <t xml:space="preserve">Are you using technology to transcribe or capture bills?</t>
  </si>
  <si>
    <t xml:space="preserve">bill_capture_tech</t>
  </si>
  <si>
    <t xml:space="preserve">Overlaps system stack</t>
  </si>
  <si>
    <t xml:space="preserve">How does your purchasing process work today?</t>
  </si>
  <si>
    <t xml:space="preserve">purchasing_process</t>
  </si>
  <si>
    <t xml:space="preserve">Do you use purchase requisitions?</t>
  </si>
  <si>
    <t xml:space="preserve">uses_requisitions</t>
  </si>
  <si>
    <t xml:space="preserve">Do you use purchase orders?</t>
  </si>
  <si>
    <t xml:space="preserve">uses_purchase_orders</t>
  </si>
  <si>
    <t xml:space="preserve">How are expense reports handled?</t>
  </si>
  <si>
    <t xml:space="preserve">expense_report_process</t>
  </si>
  <si>
    <t xml:space="preserve">Inventory &amp; Manufacturing</t>
  </si>
  <si>
    <t xml:space="preserve">Do you carry inventory, and what type (buy-to-sell, manufacturing, supplies)?</t>
  </si>
  <si>
    <t xml:space="preserve">inventory_type</t>
  </si>
  <si>
    <t xml:space="preserve">Gate for this section</t>
  </si>
  <si>
    <t xml:space="preserve">Walk me through the full process from purchasing raw materials to selling a finished product.</t>
  </si>
  <si>
    <t xml:space="preserve">inventory_flow</t>
  </si>
  <si>
    <t xml:space="preserve">conditional: carries inventory</t>
  </si>
  <si>
    <t xml:space="preserve">How are you tracking and costing inventory today?</t>
  </si>
  <si>
    <t xml:space="preserve">inventory_tracking_costing</t>
  </si>
  <si>
    <t xml:space="preserve">How many warehouses do you have?</t>
  </si>
  <si>
    <t xml:space="preserve">warehouse_count</t>
  </si>
  <si>
    <t xml:space="preserve">Sizing</t>
  </si>
  <si>
    <t xml:space="preserve">How often are inventory counts performed?</t>
  </si>
  <si>
    <t xml:space="preserve">inventory_count_frequency</t>
  </si>
  <si>
    <t xml:space="preserve">Are inventory counts manual or technology-driven?</t>
  </si>
  <si>
    <t xml:space="preserve">inventory_count_method</t>
  </si>
  <si>
    <t xml:space="preserve">How does replenishment work today?</t>
  </si>
  <si>
    <t xml:space="preserve">replenishment_process</t>
  </si>
  <si>
    <t xml:space="preserve">Do you use reorder points?</t>
  </si>
  <si>
    <t xml:space="preserve">uses_reorder_points</t>
  </si>
  <si>
    <t xml:space="preserve">Do you use serialization?</t>
  </si>
  <si>
    <t xml:space="preserve">uses_serialization</t>
  </si>
  <si>
    <t xml:space="preserve">Do you use kits?</t>
  </si>
  <si>
    <t xml:space="preserve">uses_kits</t>
  </si>
  <si>
    <t xml:space="preserve">What costing method do you use?</t>
  </si>
  <si>
    <t xml:space="preserve">inventory_costing_method</t>
  </si>
  <si>
    <t xml:space="preserve">When reporting on inventory, what metrics matter most?</t>
  </si>
  <si>
    <t xml:space="preserve">inventory_key_metrics</t>
  </si>
  <si>
    <t xml:space="preserve">If you manufacture, is it assembly or true manufacturing?</t>
  </si>
  <si>
    <t xml:space="preserve">manufacturing_type</t>
  </si>
  <si>
    <t xml:space="preserve">conditional: manufactures</t>
  </si>
  <si>
    <t xml:space="preserve">Does manufacturing follow an assembly line or multi-day/multi-week processes?</t>
  </si>
  <si>
    <t xml:space="preserve">manufacturing_process_style</t>
  </si>
  <si>
    <t xml:space="preserve">Is serialization used in manufacturing?</t>
  </si>
  <si>
    <t xml:space="preserve">manufacturing_serialization</t>
  </si>
  <si>
    <t xml:space="preserve">How is labor costing handled?</t>
  </si>
  <si>
    <t xml:space="preserve">labor_costing</t>
  </si>
  <si>
    <t xml:space="preserve">What other inventory challenges exist today?</t>
  </si>
  <si>
    <t xml:space="preserve">inventory_other_challenges</t>
  </si>
  <si>
    <t xml:space="preserve">Projects</t>
  </si>
  <si>
    <t xml:space="preserve">What types of projects do you run?</t>
  </si>
  <si>
    <t xml:space="preserve">project_types</t>
  </si>
  <si>
    <t xml:space="preserve">conditional: runs projects</t>
  </si>
  <si>
    <t xml:space="preserve">How is project billing handled?</t>
  </si>
  <si>
    <t xml:space="preserve">project_billing</t>
  </si>
  <si>
    <t xml:space="preserve">How is time entry captured?</t>
  </si>
  <si>
    <t xml:space="preserve">time_entry_method</t>
  </si>
  <si>
    <t xml:space="preserve">How is revenue recognized on projects?</t>
  </si>
  <si>
    <t xml:space="preserve">project_revenue_recognition</t>
  </si>
  <si>
    <t xml:space="preserve">How is project costing managed?</t>
  </si>
  <si>
    <t xml:space="preserve">project_costing</t>
  </si>
  <si>
    <t xml:space="preserve">How much visibility do you have into current project performance?</t>
  </si>
  <si>
    <t xml:space="preserve">project_performance_visibility</t>
  </si>
  <si>
    <t xml:space="preserve">How does that compare to target or goal performance?</t>
  </si>
  <si>
    <t xml:space="preserve">project_performance_vs_target</t>
  </si>
  <si>
    <t xml:space="preserve">Fixed Assets</t>
  </si>
  <si>
    <t xml:space="preserve">Approximately how many fixed assets do you have?</t>
  </si>
  <si>
    <t xml:space="preserve">fixed_asset_count</t>
  </si>
  <si>
    <t xml:space="preserve">Are fixed assets managed in-house or by a CPA?</t>
  </si>
  <si>
    <t xml:space="preserve">fixed_asset_management</t>
  </si>
  <si>
    <t xml:space="preserve">What depreciation method is used?</t>
  </si>
  <si>
    <t xml:space="preserve">depreciation_method</t>
  </si>
  <si>
    <t xml:space="preserve">How do you handle book versus tax depreciation?</t>
  </si>
  <si>
    <t xml:space="preserve">book_vs_tax_depreciation</t>
  </si>
  <si>
    <t xml:space="preserve">Do you maintain a fixed asset schedule?</t>
  </si>
  <si>
    <t xml:space="preserve">maintains_fixed_asset_schedule</t>
  </si>
  <si>
    <t xml:space="preserve">Allocations</t>
  </si>
  <si>
    <t xml:space="preserve">Do you make allocations across entities, departments, or dimensions?</t>
  </si>
  <si>
    <t xml:space="preserve">uses_allocations</t>
  </si>
  <si>
    <t xml:space="preserve">Gate</t>
  </si>
  <si>
    <t xml:space="preserve">Walk me through how allocations are done today.</t>
  </si>
  <si>
    <t xml:space="preserve">allocation_process</t>
  </si>
  <si>
    <t xml:space="preserve">conditional: uses allocations</t>
  </si>
  <si>
    <t xml:space="preserve">Budgeting &amp; Planning</t>
  </si>
  <si>
    <t xml:space="preserve">What does your budgeting process look like today?</t>
  </si>
  <si>
    <t xml:space="preserve">budgeting_process</t>
  </si>
  <si>
    <t xml:space="preserve">What are budget values based on?</t>
  </si>
  <si>
    <t xml:space="preserve">budget_basis</t>
  </si>
  <si>
    <t xml:space="preserve">How do you manage version control?</t>
  </si>
  <si>
    <t xml:space="preserve">budget_version_control</t>
  </si>
  <si>
    <t xml:space="preserve">Do you perform scenario planning?</t>
  </si>
  <si>
    <t xml:space="preserve">does_scenario_planning</t>
  </si>
  <si>
    <t xml:space="preserve">SC / Opportunity Discovery Field Catalog</t>
  </si>
  <si>
    <t xml:space="preserve">Total fields</t>
  </si>
  <si>
    <t xml:space="preserve">Routing</t>
  </si>
  <si>
    <t xml:space="preserve">Conditional (gated) fields</t>
  </si>
  <si>
    <t xml:space="preserve">Always-asked fields</t>
  </si>
  <si>
    <t xml:space="preserve">Edit the Keep? column or delete rows to curate; counts update on recalc.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</si>
</sst>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DADE2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5DADE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DADE2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3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14</v>
      </c>
      <c r="H3" s="2" t="s">
        <v>19</v>
      </c>
    </row>
    <row r="4" customFormat="false" ht="23.85" hidden="false" customHeight="false" outlineLevel="0" collapsed="false">
      <c r="A4" s="2" t="s">
        <v>8</v>
      </c>
      <c r="B4" s="2" t="s">
        <v>20</v>
      </c>
      <c r="C4" s="2" t="s">
        <v>21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22</v>
      </c>
    </row>
    <row r="5" customFormat="false" ht="23.85" hidden="false" customHeight="false" outlineLevel="0" collapsed="false">
      <c r="A5" s="2" t="s">
        <v>8</v>
      </c>
      <c r="B5" s="2" t="s">
        <v>23</v>
      </c>
      <c r="C5" s="2" t="s">
        <v>24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22</v>
      </c>
    </row>
    <row r="6" customFormat="false" ht="23.85" hidden="false" customHeight="false" outlineLevel="0" collapsed="false">
      <c r="A6" s="2" t="s">
        <v>8</v>
      </c>
      <c r="B6" s="2" t="s">
        <v>25</v>
      </c>
      <c r="C6" s="2" t="s">
        <v>26</v>
      </c>
      <c r="D6" s="2" t="s">
        <v>18</v>
      </c>
      <c r="E6" s="2" t="s">
        <v>12</v>
      </c>
      <c r="F6" s="2" t="s">
        <v>27</v>
      </c>
      <c r="G6" s="2" t="s">
        <v>14</v>
      </c>
      <c r="H6" s="2" t="s">
        <v>28</v>
      </c>
    </row>
    <row r="7" customFormat="false" ht="23.85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12</v>
      </c>
      <c r="F7" s="2" t="s">
        <v>27</v>
      </c>
      <c r="G7" s="2" t="s">
        <v>14</v>
      </c>
      <c r="H7" s="2" t="s">
        <v>33</v>
      </c>
    </row>
    <row r="8" customFormat="false" ht="23.85" hidden="false" customHeight="false" outlineLevel="0" collapsed="false">
      <c r="A8" s="2" t="s">
        <v>29</v>
      </c>
      <c r="B8" s="2" t="s">
        <v>34</v>
      </c>
      <c r="C8" s="2" t="s">
        <v>35</v>
      </c>
      <c r="D8" s="2" t="s">
        <v>18</v>
      </c>
      <c r="E8" s="2" t="s">
        <v>12</v>
      </c>
      <c r="F8" s="2" t="s">
        <v>27</v>
      </c>
      <c r="G8" s="2" t="s">
        <v>14</v>
      </c>
      <c r="H8" s="2"/>
    </row>
    <row r="9" customFormat="false" ht="23.85" hidden="false" customHeight="false" outlineLevel="0" collapsed="false">
      <c r="A9" s="2" t="s">
        <v>29</v>
      </c>
      <c r="B9" s="2" t="s">
        <v>36</v>
      </c>
      <c r="C9" s="2" t="s">
        <v>37</v>
      </c>
      <c r="D9" s="2" t="s">
        <v>38</v>
      </c>
      <c r="E9" s="2" t="s">
        <v>12</v>
      </c>
      <c r="F9" s="2" t="s">
        <v>27</v>
      </c>
      <c r="G9" s="2" t="s">
        <v>14</v>
      </c>
      <c r="H9" s="2"/>
    </row>
    <row r="10" customFormat="false" ht="23.85" hidden="false" customHeight="false" outlineLevel="0" collapsed="false">
      <c r="A10" s="2" t="s">
        <v>29</v>
      </c>
      <c r="B10" s="2" t="s">
        <v>39</v>
      </c>
      <c r="C10" s="2" t="s">
        <v>40</v>
      </c>
      <c r="D10" s="2" t="s">
        <v>18</v>
      </c>
      <c r="E10" s="2" t="s">
        <v>12</v>
      </c>
      <c r="F10" s="2" t="s">
        <v>27</v>
      </c>
      <c r="G10" s="2" t="s">
        <v>14</v>
      </c>
      <c r="H10" s="2" t="s">
        <v>41</v>
      </c>
    </row>
    <row r="11" customFormat="false" ht="23.85" hidden="false" customHeight="false" outlineLevel="0" collapsed="false">
      <c r="A11" s="2" t="s">
        <v>29</v>
      </c>
      <c r="B11" s="2" t="s">
        <v>42</v>
      </c>
      <c r="C11" s="2" t="s">
        <v>43</v>
      </c>
      <c r="D11" s="2" t="s">
        <v>38</v>
      </c>
      <c r="E11" s="2" t="s">
        <v>12</v>
      </c>
      <c r="F11" s="2" t="s">
        <v>27</v>
      </c>
      <c r="G11" s="2" t="s">
        <v>14</v>
      </c>
      <c r="H11" s="2"/>
    </row>
    <row r="12" customFormat="false" ht="23.85" hidden="false" customHeight="false" outlineLevel="0" collapsed="false">
      <c r="A12" s="2" t="s">
        <v>29</v>
      </c>
      <c r="B12" s="2" t="s">
        <v>44</v>
      </c>
      <c r="C12" s="2" t="s">
        <v>45</v>
      </c>
      <c r="D12" s="2" t="s">
        <v>11</v>
      </c>
      <c r="E12" s="2" t="s">
        <v>12</v>
      </c>
      <c r="F12" s="2" t="s">
        <v>27</v>
      </c>
      <c r="G12" s="2" t="s">
        <v>14</v>
      </c>
      <c r="H12" s="2" t="s">
        <v>46</v>
      </c>
    </row>
    <row r="13" customFormat="false" ht="15" hidden="false" customHeight="false" outlineLevel="0" collapsed="false">
      <c r="A13" s="2" t="s">
        <v>47</v>
      </c>
      <c r="B13" s="2" t="s">
        <v>48</v>
      </c>
      <c r="C13" s="2" t="s">
        <v>49</v>
      </c>
      <c r="D13" s="2" t="s">
        <v>32</v>
      </c>
      <c r="E13" s="2" t="s">
        <v>12</v>
      </c>
      <c r="F13" s="2" t="s">
        <v>27</v>
      </c>
      <c r="G13" s="2" t="s">
        <v>14</v>
      </c>
      <c r="H13" s="2" t="s">
        <v>33</v>
      </c>
    </row>
    <row r="14" customFormat="false" ht="15" hidden="false" customHeight="false" outlineLevel="0" collapsed="false">
      <c r="A14" s="2" t="s">
        <v>47</v>
      </c>
      <c r="B14" s="2" t="s">
        <v>50</v>
      </c>
      <c r="C14" s="2" t="s">
        <v>51</v>
      </c>
      <c r="D14" s="2" t="s">
        <v>32</v>
      </c>
      <c r="E14" s="2" t="s">
        <v>12</v>
      </c>
      <c r="F14" s="2" t="s">
        <v>27</v>
      </c>
      <c r="G14" s="2" t="s">
        <v>14</v>
      </c>
      <c r="H14" s="2" t="s">
        <v>33</v>
      </c>
    </row>
    <row r="15" customFormat="false" ht="15" hidden="false" customHeight="false" outlineLevel="0" collapsed="false">
      <c r="A15" s="2" t="s">
        <v>52</v>
      </c>
      <c r="B15" s="2" t="s">
        <v>53</v>
      </c>
      <c r="C15" s="2" t="s">
        <v>54</v>
      </c>
      <c r="D15" s="2" t="s">
        <v>11</v>
      </c>
      <c r="E15" s="2" t="s">
        <v>12</v>
      </c>
      <c r="F15" s="2" t="s">
        <v>55</v>
      </c>
      <c r="G15" s="2" t="s">
        <v>14</v>
      </c>
      <c r="H15" s="2" t="s">
        <v>56</v>
      </c>
    </row>
    <row r="16" customFormat="false" ht="15" hidden="false" customHeight="false" outlineLevel="0" collapsed="false">
      <c r="A16" s="2" t="s">
        <v>52</v>
      </c>
      <c r="B16" s="2" t="s">
        <v>57</v>
      </c>
      <c r="C16" s="2" t="s">
        <v>58</v>
      </c>
      <c r="D16" s="2" t="s">
        <v>11</v>
      </c>
      <c r="E16" s="2" t="s">
        <v>12</v>
      </c>
      <c r="F16" s="2" t="s">
        <v>55</v>
      </c>
      <c r="G16" s="2" t="s">
        <v>14</v>
      </c>
      <c r="H16" s="2" t="s">
        <v>59</v>
      </c>
    </row>
    <row r="17" customFormat="false" ht="23.85" hidden="false" customHeight="false" outlineLevel="0" collapsed="false">
      <c r="A17" s="2" t="s">
        <v>52</v>
      </c>
      <c r="B17" s="2" t="s">
        <v>60</v>
      </c>
      <c r="C17" s="2" t="s">
        <v>61</v>
      </c>
      <c r="D17" s="2" t="s">
        <v>11</v>
      </c>
      <c r="E17" s="2" t="s">
        <v>12</v>
      </c>
      <c r="F17" s="2" t="s">
        <v>55</v>
      </c>
      <c r="G17" s="2" t="s">
        <v>14</v>
      </c>
      <c r="H17" s="2" t="s">
        <v>62</v>
      </c>
    </row>
    <row r="18" customFormat="false" ht="15" hidden="false" customHeight="false" outlineLevel="0" collapsed="false">
      <c r="A18" s="2" t="s">
        <v>52</v>
      </c>
      <c r="B18" s="2" t="s">
        <v>63</v>
      </c>
      <c r="C18" s="2" t="s">
        <v>64</v>
      </c>
      <c r="D18" s="2" t="s">
        <v>18</v>
      </c>
      <c r="E18" s="2" t="s">
        <v>12</v>
      </c>
      <c r="F18" s="2" t="s">
        <v>55</v>
      </c>
      <c r="G18" s="2" t="s">
        <v>14</v>
      </c>
      <c r="H18" s="2" t="s">
        <v>65</v>
      </c>
    </row>
    <row r="19" customFormat="false" ht="15" hidden="false" customHeight="false" outlineLevel="0" collapsed="false">
      <c r="A19" s="2" t="s">
        <v>52</v>
      </c>
      <c r="B19" s="2" t="s">
        <v>66</v>
      </c>
      <c r="C19" s="2" t="s">
        <v>67</v>
      </c>
      <c r="D19" s="2" t="s">
        <v>18</v>
      </c>
      <c r="E19" s="2" t="s">
        <v>12</v>
      </c>
      <c r="F19" s="2" t="s">
        <v>55</v>
      </c>
      <c r="G19" s="2" t="s">
        <v>14</v>
      </c>
      <c r="H19" s="2" t="s">
        <v>68</v>
      </c>
    </row>
    <row r="20" customFormat="false" ht="23.85" hidden="false" customHeight="false" outlineLevel="0" collapsed="false">
      <c r="A20" s="2" t="s">
        <v>69</v>
      </c>
      <c r="B20" s="2" t="s">
        <v>70</v>
      </c>
      <c r="C20" s="2" t="s">
        <v>71</v>
      </c>
      <c r="D20" s="2" t="s">
        <v>11</v>
      </c>
      <c r="E20" s="2" t="s">
        <v>12</v>
      </c>
      <c r="F20" s="2" t="s">
        <v>27</v>
      </c>
      <c r="G20" s="2" t="s">
        <v>14</v>
      </c>
      <c r="H20" s="2"/>
    </row>
    <row r="21" customFormat="false" ht="23.85" hidden="false" customHeight="false" outlineLevel="0" collapsed="false">
      <c r="A21" s="2" t="s">
        <v>69</v>
      </c>
      <c r="B21" s="2" t="s">
        <v>72</v>
      </c>
      <c r="C21" s="2" t="s">
        <v>73</v>
      </c>
      <c r="D21" s="2" t="s">
        <v>11</v>
      </c>
      <c r="E21" s="2" t="s">
        <v>12</v>
      </c>
      <c r="F21" s="2" t="s">
        <v>27</v>
      </c>
      <c r="G21" s="2" t="s">
        <v>14</v>
      </c>
      <c r="H21" s="2"/>
    </row>
    <row r="22" customFormat="false" ht="23.85" hidden="false" customHeight="false" outlineLevel="0" collapsed="false">
      <c r="A22" s="2" t="s">
        <v>69</v>
      </c>
      <c r="B22" s="2" t="s">
        <v>74</v>
      </c>
      <c r="C22" s="2" t="s">
        <v>75</v>
      </c>
      <c r="D22" s="2" t="s">
        <v>11</v>
      </c>
      <c r="E22" s="2" t="s">
        <v>12</v>
      </c>
      <c r="F22" s="2" t="s">
        <v>27</v>
      </c>
      <c r="G22" s="2" t="s">
        <v>14</v>
      </c>
      <c r="H22" s="2" t="s">
        <v>76</v>
      </c>
    </row>
    <row r="23" customFormat="false" ht="23.85" hidden="false" customHeight="false" outlineLevel="0" collapsed="false">
      <c r="A23" s="2" t="s">
        <v>69</v>
      </c>
      <c r="B23" s="2" t="s">
        <v>77</v>
      </c>
      <c r="C23" s="2" t="s">
        <v>78</v>
      </c>
      <c r="D23" s="2" t="s">
        <v>11</v>
      </c>
      <c r="E23" s="2" t="s">
        <v>12</v>
      </c>
      <c r="F23" s="2" t="s">
        <v>27</v>
      </c>
      <c r="G23" s="2" t="s">
        <v>14</v>
      </c>
      <c r="H23" s="2"/>
    </row>
    <row r="24" customFormat="false" ht="23.85" hidden="false" customHeight="false" outlineLevel="0" collapsed="false">
      <c r="A24" s="2" t="s">
        <v>69</v>
      </c>
      <c r="B24" s="2" t="s">
        <v>79</v>
      </c>
      <c r="C24" s="2" t="s">
        <v>80</v>
      </c>
      <c r="D24" s="2" t="s">
        <v>11</v>
      </c>
      <c r="E24" s="2" t="s">
        <v>12</v>
      </c>
      <c r="F24" s="2" t="s">
        <v>27</v>
      </c>
      <c r="G24" s="2" t="s">
        <v>14</v>
      </c>
      <c r="H24" s="2"/>
    </row>
    <row r="25" customFormat="false" ht="15" hidden="false" customHeight="false" outlineLevel="0" collapsed="false">
      <c r="A25" s="2" t="s">
        <v>81</v>
      </c>
      <c r="B25" s="2" t="s">
        <v>82</v>
      </c>
      <c r="C25" s="2" t="s">
        <v>83</v>
      </c>
      <c r="D25" s="2" t="s">
        <v>32</v>
      </c>
      <c r="E25" s="2" t="s">
        <v>12</v>
      </c>
      <c r="F25" s="2" t="s">
        <v>27</v>
      </c>
      <c r="G25" s="2" t="s">
        <v>14</v>
      </c>
      <c r="H25" s="2" t="s">
        <v>84</v>
      </c>
    </row>
    <row r="26" customFormat="false" ht="15" hidden="false" customHeight="false" outlineLevel="0" collapsed="false">
      <c r="A26" s="2" t="s">
        <v>81</v>
      </c>
      <c r="B26" s="2" t="s">
        <v>85</v>
      </c>
      <c r="C26" s="2" t="s">
        <v>86</v>
      </c>
      <c r="D26" s="2" t="s">
        <v>18</v>
      </c>
      <c r="E26" s="2" t="s">
        <v>12</v>
      </c>
      <c r="F26" s="2" t="s">
        <v>27</v>
      </c>
      <c r="G26" s="2" t="s">
        <v>14</v>
      </c>
      <c r="H26" s="2"/>
    </row>
    <row r="27" customFormat="false" ht="15" hidden="false" customHeight="false" outlineLevel="0" collapsed="false">
      <c r="A27" s="2" t="s">
        <v>81</v>
      </c>
      <c r="B27" s="2" t="s">
        <v>87</v>
      </c>
      <c r="C27" s="2" t="s">
        <v>88</v>
      </c>
      <c r="D27" s="2" t="s">
        <v>11</v>
      </c>
      <c r="E27" s="2" t="s">
        <v>12</v>
      </c>
      <c r="F27" s="2" t="s">
        <v>27</v>
      </c>
      <c r="G27" s="2" t="s">
        <v>14</v>
      </c>
      <c r="H27" s="2"/>
    </row>
    <row r="28" customFormat="false" ht="15" hidden="false" customHeight="false" outlineLevel="0" collapsed="false">
      <c r="A28" s="2" t="s">
        <v>89</v>
      </c>
      <c r="B28" s="2" t="s">
        <v>90</v>
      </c>
      <c r="C28" s="2" t="s">
        <v>91</v>
      </c>
      <c r="D28" s="2" t="s">
        <v>18</v>
      </c>
      <c r="E28" s="2" t="s">
        <v>12</v>
      </c>
      <c r="F28" s="2" t="s">
        <v>27</v>
      </c>
      <c r="G28" s="2" t="s">
        <v>14</v>
      </c>
      <c r="H28" s="2"/>
    </row>
    <row r="29" customFormat="false" ht="15" hidden="false" customHeight="false" outlineLevel="0" collapsed="false">
      <c r="A29" s="2" t="s">
        <v>89</v>
      </c>
      <c r="B29" s="2" t="s">
        <v>92</v>
      </c>
      <c r="C29" s="2" t="s">
        <v>93</v>
      </c>
      <c r="D29" s="2" t="s">
        <v>11</v>
      </c>
      <c r="E29" s="2" t="s">
        <v>12</v>
      </c>
      <c r="F29" s="2" t="s">
        <v>27</v>
      </c>
      <c r="G29" s="2" t="s">
        <v>14</v>
      </c>
      <c r="H29" s="2"/>
    </row>
    <row r="30" customFormat="false" ht="15" hidden="false" customHeight="false" outlineLevel="0" collapsed="false">
      <c r="A30" s="2" t="s">
        <v>89</v>
      </c>
      <c r="B30" s="2" t="s">
        <v>94</v>
      </c>
      <c r="C30" s="2" t="s">
        <v>95</v>
      </c>
      <c r="D30" s="2" t="s">
        <v>11</v>
      </c>
      <c r="E30" s="2" t="s">
        <v>12</v>
      </c>
      <c r="F30" s="2" t="s">
        <v>27</v>
      </c>
      <c r="G30" s="2" t="s">
        <v>14</v>
      </c>
      <c r="H30" s="2"/>
    </row>
    <row r="31" customFormat="false" ht="23.85" hidden="false" customHeight="false" outlineLevel="0" collapsed="false">
      <c r="A31" s="2" t="s">
        <v>89</v>
      </c>
      <c r="B31" s="2" t="s">
        <v>96</v>
      </c>
      <c r="C31" s="2" t="s">
        <v>97</v>
      </c>
      <c r="D31" s="2" t="s">
        <v>18</v>
      </c>
      <c r="E31" s="2" t="s">
        <v>12</v>
      </c>
      <c r="F31" s="2" t="s">
        <v>27</v>
      </c>
      <c r="G31" s="2" t="s">
        <v>14</v>
      </c>
      <c r="H31" s="2" t="s">
        <v>98</v>
      </c>
    </row>
    <row r="32" customFormat="false" ht="15" hidden="false" customHeight="false" outlineLevel="0" collapsed="false">
      <c r="A32" s="2" t="s">
        <v>89</v>
      </c>
      <c r="B32" s="2" t="s">
        <v>99</v>
      </c>
      <c r="C32" s="2" t="s">
        <v>100</v>
      </c>
      <c r="D32" s="2" t="s">
        <v>11</v>
      </c>
      <c r="E32" s="2" t="s">
        <v>12</v>
      </c>
      <c r="F32" s="2" t="s">
        <v>27</v>
      </c>
      <c r="G32" s="2" t="s">
        <v>14</v>
      </c>
      <c r="H32" s="2"/>
    </row>
    <row r="33" customFormat="false" ht="15" hidden="false" customHeight="false" outlineLevel="0" collapsed="false">
      <c r="A33" s="2" t="s">
        <v>89</v>
      </c>
      <c r="B33" s="2" t="s">
        <v>101</v>
      </c>
      <c r="C33" s="2" t="s">
        <v>102</v>
      </c>
      <c r="D33" s="2" t="s">
        <v>11</v>
      </c>
      <c r="E33" s="2" t="s">
        <v>12</v>
      </c>
      <c r="F33" s="2" t="s">
        <v>27</v>
      </c>
      <c r="G33" s="2" t="s">
        <v>14</v>
      </c>
      <c r="H33" s="2"/>
    </row>
    <row r="34" customFormat="false" ht="15" hidden="false" customHeight="false" outlineLevel="0" collapsed="false">
      <c r="A34" s="2" t="s">
        <v>89</v>
      </c>
      <c r="B34" s="2" t="s">
        <v>103</v>
      </c>
      <c r="C34" s="2" t="s">
        <v>104</v>
      </c>
      <c r="D34" s="2" t="s">
        <v>11</v>
      </c>
      <c r="E34" s="2" t="s">
        <v>12</v>
      </c>
      <c r="F34" s="2" t="s">
        <v>27</v>
      </c>
      <c r="G34" s="2" t="s">
        <v>14</v>
      </c>
      <c r="H34" s="2"/>
    </row>
    <row r="35" customFormat="false" ht="15" hidden="false" customHeight="false" outlineLevel="0" collapsed="false">
      <c r="A35" s="2" t="s">
        <v>89</v>
      </c>
      <c r="B35" s="2" t="s">
        <v>105</v>
      </c>
      <c r="C35" s="2" t="s">
        <v>106</v>
      </c>
      <c r="D35" s="2" t="s">
        <v>18</v>
      </c>
      <c r="E35" s="2" t="s">
        <v>12</v>
      </c>
      <c r="F35" s="2" t="s">
        <v>27</v>
      </c>
      <c r="G35" s="2" t="s">
        <v>14</v>
      </c>
      <c r="H35" s="2"/>
    </row>
    <row r="36" customFormat="false" ht="15" hidden="false" customHeight="false" outlineLevel="0" collapsed="false">
      <c r="A36" s="2" t="s">
        <v>89</v>
      </c>
      <c r="B36" s="2" t="s">
        <v>107</v>
      </c>
      <c r="C36" s="2" t="s">
        <v>108</v>
      </c>
      <c r="D36" s="2" t="s">
        <v>11</v>
      </c>
      <c r="E36" s="2" t="s">
        <v>12</v>
      </c>
      <c r="F36" s="2" t="s">
        <v>27</v>
      </c>
      <c r="G36" s="2" t="s">
        <v>14</v>
      </c>
      <c r="H36" s="2"/>
    </row>
    <row r="37" customFormat="false" ht="15" hidden="false" customHeight="false" outlineLevel="0" collapsed="false">
      <c r="A37" s="2" t="s">
        <v>109</v>
      </c>
      <c r="B37" s="2" t="s">
        <v>110</v>
      </c>
      <c r="C37" s="2" t="s">
        <v>111</v>
      </c>
      <c r="D37" s="2" t="s">
        <v>11</v>
      </c>
      <c r="E37" s="2" t="s">
        <v>12</v>
      </c>
      <c r="F37" s="2" t="s">
        <v>27</v>
      </c>
      <c r="G37" s="2" t="s">
        <v>14</v>
      </c>
      <c r="H37" s="2"/>
    </row>
    <row r="38" customFormat="false" ht="15" hidden="false" customHeight="false" outlineLevel="0" collapsed="false">
      <c r="A38" s="2" t="s">
        <v>109</v>
      </c>
      <c r="B38" s="2" t="s">
        <v>112</v>
      </c>
      <c r="C38" s="2" t="s">
        <v>113</v>
      </c>
      <c r="D38" s="2" t="s">
        <v>11</v>
      </c>
      <c r="E38" s="2" t="s">
        <v>12</v>
      </c>
      <c r="F38" s="2" t="s">
        <v>27</v>
      </c>
      <c r="G38" s="2" t="s">
        <v>14</v>
      </c>
      <c r="H38" s="2"/>
    </row>
    <row r="39" customFormat="false" ht="15" hidden="false" customHeight="false" outlineLevel="0" collapsed="false">
      <c r="A39" s="2" t="s">
        <v>109</v>
      </c>
      <c r="B39" s="2" t="s">
        <v>114</v>
      </c>
      <c r="C39" s="2" t="s">
        <v>115</v>
      </c>
      <c r="D39" s="2" t="s">
        <v>18</v>
      </c>
      <c r="E39" s="2" t="s">
        <v>12</v>
      </c>
      <c r="F39" s="2" t="s">
        <v>27</v>
      </c>
      <c r="G39" s="2" t="s">
        <v>14</v>
      </c>
      <c r="H39" s="2"/>
    </row>
    <row r="40" customFormat="false" ht="15" hidden="false" customHeight="false" outlineLevel="0" collapsed="false">
      <c r="A40" s="2" t="s">
        <v>109</v>
      </c>
      <c r="B40" s="2" t="s">
        <v>116</v>
      </c>
      <c r="C40" s="2" t="s">
        <v>117</v>
      </c>
      <c r="D40" s="2" t="s">
        <v>18</v>
      </c>
      <c r="E40" s="2" t="s">
        <v>12</v>
      </c>
      <c r="F40" s="2" t="s">
        <v>27</v>
      </c>
      <c r="G40" s="2" t="s">
        <v>14</v>
      </c>
      <c r="H40" s="2" t="s">
        <v>118</v>
      </c>
    </row>
    <row r="41" customFormat="false" ht="15" hidden="false" customHeight="false" outlineLevel="0" collapsed="false">
      <c r="A41" s="2" t="s">
        <v>109</v>
      </c>
      <c r="B41" s="2" t="s">
        <v>119</v>
      </c>
      <c r="C41" s="2" t="s">
        <v>120</v>
      </c>
      <c r="D41" s="2" t="s">
        <v>11</v>
      </c>
      <c r="E41" s="2" t="s">
        <v>12</v>
      </c>
      <c r="F41" s="2" t="s">
        <v>27</v>
      </c>
      <c r="G41" s="2" t="s">
        <v>14</v>
      </c>
      <c r="H41" s="2"/>
    </row>
    <row r="42" customFormat="false" ht="15" hidden="false" customHeight="false" outlineLevel="0" collapsed="false">
      <c r="A42" s="2" t="s">
        <v>109</v>
      </c>
      <c r="B42" s="2" t="s">
        <v>121</v>
      </c>
      <c r="C42" s="2" t="s">
        <v>122</v>
      </c>
      <c r="D42" s="2" t="s">
        <v>11</v>
      </c>
      <c r="E42" s="2" t="s">
        <v>12</v>
      </c>
      <c r="F42" s="2" t="s">
        <v>27</v>
      </c>
      <c r="G42" s="2" t="s">
        <v>14</v>
      </c>
      <c r="H42" s="2"/>
    </row>
    <row r="43" customFormat="false" ht="15" hidden="false" customHeight="false" outlineLevel="0" collapsed="false">
      <c r="A43" s="2" t="s">
        <v>109</v>
      </c>
      <c r="B43" s="2" t="s">
        <v>123</v>
      </c>
      <c r="C43" s="2" t="s">
        <v>124</v>
      </c>
      <c r="D43" s="2" t="s">
        <v>11</v>
      </c>
      <c r="E43" s="2" t="s">
        <v>12</v>
      </c>
      <c r="F43" s="2" t="s">
        <v>27</v>
      </c>
      <c r="G43" s="2" t="s">
        <v>14</v>
      </c>
      <c r="H43" s="2" t="s">
        <v>46</v>
      </c>
    </row>
    <row r="44" customFormat="false" ht="15" hidden="false" customHeight="false" outlineLevel="0" collapsed="false">
      <c r="A44" s="2" t="s">
        <v>109</v>
      </c>
      <c r="B44" s="2" t="s">
        <v>125</v>
      </c>
      <c r="C44" s="2" t="s">
        <v>126</v>
      </c>
      <c r="D44" s="2" t="s">
        <v>11</v>
      </c>
      <c r="E44" s="2" t="s">
        <v>12</v>
      </c>
      <c r="F44" s="2" t="s">
        <v>27</v>
      </c>
      <c r="G44" s="2" t="s">
        <v>14</v>
      </c>
      <c r="H44" s="2"/>
    </row>
    <row r="45" customFormat="false" ht="15" hidden="false" customHeight="false" outlineLevel="0" collapsed="false">
      <c r="A45" s="2" t="s">
        <v>109</v>
      </c>
      <c r="B45" s="2" t="s">
        <v>127</v>
      </c>
      <c r="C45" s="2" t="s">
        <v>128</v>
      </c>
      <c r="D45" s="2" t="s">
        <v>11</v>
      </c>
      <c r="E45" s="2" t="s">
        <v>12</v>
      </c>
      <c r="F45" s="2" t="s">
        <v>27</v>
      </c>
      <c r="G45" s="2" t="s">
        <v>14</v>
      </c>
      <c r="H45" s="2"/>
    </row>
    <row r="46" customFormat="false" ht="15" hidden="false" customHeight="false" outlineLevel="0" collapsed="false">
      <c r="A46" s="2" t="s">
        <v>129</v>
      </c>
      <c r="B46" s="2" t="s">
        <v>130</v>
      </c>
      <c r="C46" s="2" t="s">
        <v>131</v>
      </c>
      <c r="D46" s="2" t="s">
        <v>11</v>
      </c>
      <c r="E46" s="2" t="s">
        <v>12</v>
      </c>
      <c r="F46" s="2" t="s">
        <v>27</v>
      </c>
      <c r="G46" s="2" t="s">
        <v>14</v>
      </c>
      <c r="H46" s="2"/>
    </row>
    <row r="47" customFormat="false" ht="15" hidden="false" customHeight="false" outlineLevel="0" collapsed="false">
      <c r="A47" s="2" t="s">
        <v>129</v>
      </c>
      <c r="B47" s="2" t="s">
        <v>132</v>
      </c>
      <c r="C47" s="2" t="s">
        <v>133</v>
      </c>
      <c r="D47" s="2" t="s">
        <v>18</v>
      </c>
      <c r="E47" s="2" t="s">
        <v>12</v>
      </c>
      <c r="F47" s="2" t="s">
        <v>27</v>
      </c>
      <c r="G47" s="2" t="s">
        <v>14</v>
      </c>
      <c r="H47" s="2"/>
    </row>
    <row r="48" customFormat="false" ht="15" hidden="false" customHeight="false" outlineLevel="0" collapsed="false">
      <c r="A48" s="2" t="s">
        <v>129</v>
      </c>
      <c r="B48" s="2" t="s">
        <v>134</v>
      </c>
      <c r="C48" s="2" t="s">
        <v>135</v>
      </c>
      <c r="D48" s="2" t="s">
        <v>11</v>
      </c>
      <c r="E48" s="2" t="s">
        <v>12</v>
      </c>
      <c r="F48" s="2" t="s">
        <v>27</v>
      </c>
      <c r="G48" s="2" t="s">
        <v>14</v>
      </c>
      <c r="H48" s="2"/>
    </row>
    <row r="49" customFormat="false" ht="23.85" hidden="false" customHeight="false" outlineLevel="0" collapsed="false">
      <c r="A49" s="2" t="s">
        <v>129</v>
      </c>
      <c r="B49" s="2" t="s">
        <v>136</v>
      </c>
      <c r="C49" s="2" t="s">
        <v>137</v>
      </c>
      <c r="D49" s="2" t="s">
        <v>11</v>
      </c>
      <c r="E49" s="2" t="s">
        <v>12</v>
      </c>
      <c r="F49" s="2" t="s">
        <v>27</v>
      </c>
      <c r="G49" s="2" t="s">
        <v>14</v>
      </c>
      <c r="H49" s="2"/>
    </row>
    <row r="50" customFormat="false" ht="23.85" hidden="false" customHeight="false" outlineLevel="0" collapsed="false">
      <c r="A50" s="2" t="s">
        <v>138</v>
      </c>
      <c r="B50" s="2" t="s">
        <v>139</v>
      </c>
      <c r="C50" s="2" t="s">
        <v>140</v>
      </c>
      <c r="D50" s="2" t="s">
        <v>11</v>
      </c>
      <c r="E50" s="2" t="s">
        <v>12</v>
      </c>
      <c r="F50" s="2" t="s">
        <v>27</v>
      </c>
      <c r="G50" s="2" t="s">
        <v>14</v>
      </c>
      <c r="H50" s="2"/>
    </row>
    <row r="51" customFormat="false" ht="23.85" hidden="false" customHeight="false" outlineLevel="0" collapsed="false">
      <c r="A51" s="2" t="s">
        <v>138</v>
      </c>
      <c r="B51" s="2" t="s">
        <v>141</v>
      </c>
      <c r="C51" s="2" t="s">
        <v>142</v>
      </c>
      <c r="D51" s="2" t="s">
        <v>11</v>
      </c>
      <c r="E51" s="2" t="s">
        <v>12</v>
      </c>
      <c r="F51" s="2" t="s">
        <v>27</v>
      </c>
      <c r="G51" s="2" t="s">
        <v>14</v>
      </c>
      <c r="H51" s="2"/>
    </row>
    <row r="52" customFormat="false" ht="23.85" hidden="false" customHeight="false" outlineLevel="0" collapsed="false">
      <c r="A52" s="2" t="s">
        <v>138</v>
      </c>
      <c r="B52" s="2" t="s">
        <v>143</v>
      </c>
      <c r="C52" s="2" t="s">
        <v>144</v>
      </c>
      <c r="D52" s="2" t="s">
        <v>18</v>
      </c>
      <c r="E52" s="2" t="s">
        <v>12</v>
      </c>
      <c r="F52" s="2" t="s">
        <v>27</v>
      </c>
      <c r="G52" s="2" t="s">
        <v>14</v>
      </c>
      <c r="H52" s="2"/>
    </row>
    <row r="53" customFormat="false" ht="23.85" hidden="false" customHeight="false" outlineLevel="0" collapsed="false">
      <c r="A53" s="2" t="s">
        <v>138</v>
      </c>
      <c r="B53" s="2" t="s">
        <v>145</v>
      </c>
      <c r="C53" s="2" t="s">
        <v>146</v>
      </c>
      <c r="D53" s="2" t="s">
        <v>11</v>
      </c>
      <c r="E53" s="2" t="s">
        <v>12</v>
      </c>
      <c r="F53" s="2" t="s">
        <v>27</v>
      </c>
      <c r="G53" s="2" t="s">
        <v>14</v>
      </c>
      <c r="H53" s="2"/>
    </row>
    <row r="54" customFormat="false" ht="23.85" hidden="false" customHeight="false" outlineLevel="0" collapsed="false">
      <c r="A54" s="2" t="s">
        <v>138</v>
      </c>
      <c r="B54" s="2" t="s">
        <v>147</v>
      </c>
      <c r="C54" s="2" t="s">
        <v>148</v>
      </c>
      <c r="D54" s="2" t="s">
        <v>32</v>
      </c>
      <c r="E54" s="2" t="s">
        <v>12</v>
      </c>
      <c r="F54" s="2" t="s">
        <v>27</v>
      </c>
      <c r="G54" s="2" t="s">
        <v>14</v>
      </c>
      <c r="H54" s="2" t="s">
        <v>149</v>
      </c>
    </row>
    <row r="55" customFormat="false" ht="23.85" hidden="false" customHeight="false" outlineLevel="0" collapsed="false">
      <c r="A55" s="2" t="s">
        <v>138</v>
      </c>
      <c r="B55" s="2" t="s">
        <v>150</v>
      </c>
      <c r="C55" s="2" t="s">
        <v>151</v>
      </c>
      <c r="D55" s="2" t="s">
        <v>18</v>
      </c>
      <c r="E55" s="2" t="s">
        <v>12</v>
      </c>
      <c r="F55" s="2" t="s">
        <v>27</v>
      </c>
      <c r="G55" s="2" t="s">
        <v>14</v>
      </c>
      <c r="H55" s="2"/>
    </row>
    <row r="56" customFormat="false" ht="23.85" hidden="false" customHeight="false" outlineLevel="0" collapsed="false">
      <c r="A56" s="2" t="s">
        <v>138</v>
      </c>
      <c r="B56" s="2" t="s">
        <v>152</v>
      </c>
      <c r="C56" s="2" t="s">
        <v>153</v>
      </c>
      <c r="D56" s="2" t="s">
        <v>11</v>
      </c>
      <c r="E56" s="2" t="s">
        <v>12</v>
      </c>
      <c r="F56" s="2" t="s">
        <v>27</v>
      </c>
      <c r="G56" s="2" t="s">
        <v>14</v>
      </c>
      <c r="H56" s="2" t="s">
        <v>154</v>
      </c>
    </row>
    <row r="57" customFormat="false" ht="23.85" hidden="false" customHeight="false" outlineLevel="0" collapsed="false">
      <c r="A57" s="2" t="s">
        <v>138</v>
      </c>
      <c r="B57" s="2" t="s">
        <v>155</v>
      </c>
      <c r="C57" s="2" t="s">
        <v>156</v>
      </c>
      <c r="D57" s="2" t="s">
        <v>11</v>
      </c>
      <c r="E57" s="2" t="s">
        <v>12</v>
      </c>
      <c r="F57" s="2" t="s">
        <v>27</v>
      </c>
      <c r="G57" s="2" t="s">
        <v>14</v>
      </c>
      <c r="H57" s="2"/>
    </row>
    <row r="58" customFormat="false" ht="23.85" hidden="false" customHeight="false" outlineLevel="0" collapsed="false">
      <c r="A58" s="2" t="s">
        <v>138</v>
      </c>
      <c r="B58" s="2" t="s">
        <v>157</v>
      </c>
      <c r="C58" s="2" t="s">
        <v>158</v>
      </c>
      <c r="D58" s="2" t="s">
        <v>38</v>
      </c>
      <c r="E58" s="2" t="s">
        <v>12</v>
      </c>
      <c r="F58" s="2" t="s">
        <v>27</v>
      </c>
      <c r="G58" s="2" t="s">
        <v>14</v>
      </c>
      <c r="H58" s="2"/>
    </row>
    <row r="59" customFormat="false" ht="23.85" hidden="false" customHeight="false" outlineLevel="0" collapsed="false">
      <c r="A59" s="2" t="s">
        <v>138</v>
      </c>
      <c r="B59" s="2" t="s">
        <v>159</v>
      </c>
      <c r="C59" s="2" t="s">
        <v>160</v>
      </c>
      <c r="D59" s="2" t="s">
        <v>38</v>
      </c>
      <c r="E59" s="2" t="s">
        <v>12</v>
      </c>
      <c r="F59" s="2" t="s">
        <v>27</v>
      </c>
      <c r="G59" s="2" t="s">
        <v>14</v>
      </c>
      <c r="H59" s="2"/>
    </row>
    <row r="60" customFormat="false" ht="23.85" hidden="false" customHeight="false" outlineLevel="0" collapsed="false">
      <c r="A60" s="2" t="s">
        <v>138</v>
      </c>
      <c r="B60" s="2" t="s">
        <v>161</v>
      </c>
      <c r="C60" s="2" t="s">
        <v>162</v>
      </c>
      <c r="D60" s="2" t="s">
        <v>11</v>
      </c>
      <c r="E60" s="2" t="s">
        <v>12</v>
      </c>
      <c r="F60" s="2" t="s">
        <v>27</v>
      </c>
      <c r="G60" s="2" t="s">
        <v>14</v>
      </c>
      <c r="H60" s="2"/>
    </row>
    <row r="61" customFormat="false" ht="23.85" hidden="false" customHeight="false" outlineLevel="0" collapsed="false">
      <c r="A61" s="2" t="s">
        <v>163</v>
      </c>
      <c r="B61" s="2" t="s">
        <v>164</v>
      </c>
      <c r="C61" s="2" t="s">
        <v>165</v>
      </c>
      <c r="D61" s="2" t="s">
        <v>11</v>
      </c>
      <c r="E61" s="2" t="s">
        <v>12</v>
      </c>
      <c r="F61" s="2" t="s">
        <v>27</v>
      </c>
      <c r="G61" s="2" t="s">
        <v>14</v>
      </c>
      <c r="H61" s="2" t="s">
        <v>166</v>
      </c>
    </row>
    <row r="62" customFormat="false" ht="23.85" hidden="false" customHeight="false" outlineLevel="0" collapsed="false">
      <c r="A62" s="2" t="s">
        <v>163</v>
      </c>
      <c r="B62" s="2" t="s">
        <v>167</v>
      </c>
      <c r="C62" s="2" t="s">
        <v>168</v>
      </c>
      <c r="D62" s="2" t="s">
        <v>11</v>
      </c>
      <c r="E62" s="2" t="s">
        <v>169</v>
      </c>
      <c r="F62" s="2" t="s">
        <v>27</v>
      </c>
      <c r="G62" s="2" t="s">
        <v>14</v>
      </c>
      <c r="H62" s="2"/>
    </row>
    <row r="63" customFormat="false" ht="15" hidden="false" customHeight="false" outlineLevel="0" collapsed="false">
      <c r="A63" s="2" t="s">
        <v>163</v>
      </c>
      <c r="B63" s="2" t="s">
        <v>170</v>
      </c>
      <c r="C63" s="2" t="s">
        <v>171</v>
      </c>
      <c r="D63" s="2" t="s">
        <v>11</v>
      </c>
      <c r="E63" s="2" t="s">
        <v>169</v>
      </c>
      <c r="F63" s="2" t="s">
        <v>27</v>
      </c>
      <c r="G63" s="2" t="s">
        <v>14</v>
      </c>
      <c r="H63" s="2"/>
    </row>
    <row r="64" customFormat="false" ht="15" hidden="false" customHeight="false" outlineLevel="0" collapsed="false">
      <c r="A64" s="2" t="s">
        <v>163</v>
      </c>
      <c r="B64" s="2" t="s">
        <v>172</v>
      </c>
      <c r="C64" s="2" t="s">
        <v>173</v>
      </c>
      <c r="D64" s="2" t="s">
        <v>32</v>
      </c>
      <c r="E64" s="2" t="s">
        <v>169</v>
      </c>
      <c r="F64" s="2" t="s">
        <v>27</v>
      </c>
      <c r="G64" s="2" t="s">
        <v>14</v>
      </c>
      <c r="H64" s="2" t="s">
        <v>174</v>
      </c>
    </row>
    <row r="65" customFormat="false" ht="15" hidden="false" customHeight="false" outlineLevel="0" collapsed="false">
      <c r="A65" s="2" t="s">
        <v>163</v>
      </c>
      <c r="B65" s="2" t="s">
        <v>175</v>
      </c>
      <c r="C65" s="2" t="s">
        <v>176</v>
      </c>
      <c r="D65" s="2" t="s">
        <v>11</v>
      </c>
      <c r="E65" s="2" t="s">
        <v>169</v>
      </c>
      <c r="F65" s="2" t="s">
        <v>27</v>
      </c>
      <c r="G65" s="2" t="s">
        <v>14</v>
      </c>
      <c r="H65" s="2"/>
    </row>
    <row r="66" customFormat="false" ht="15" hidden="false" customHeight="false" outlineLevel="0" collapsed="false">
      <c r="A66" s="2" t="s">
        <v>163</v>
      </c>
      <c r="B66" s="2" t="s">
        <v>177</v>
      </c>
      <c r="C66" s="2" t="s">
        <v>178</v>
      </c>
      <c r="D66" s="2" t="s">
        <v>11</v>
      </c>
      <c r="E66" s="2" t="s">
        <v>169</v>
      </c>
      <c r="F66" s="2" t="s">
        <v>27</v>
      </c>
      <c r="G66" s="2" t="s">
        <v>14</v>
      </c>
      <c r="H66" s="2"/>
    </row>
    <row r="67" customFormat="false" ht="15" hidden="false" customHeight="false" outlineLevel="0" collapsed="false">
      <c r="A67" s="2" t="s">
        <v>163</v>
      </c>
      <c r="B67" s="2" t="s">
        <v>179</v>
      </c>
      <c r="C67" s="2" t="s">
        <v>180</v>
      </c>
      <c r="D67" s="2" t="s">
        <v>11</v>
      </c>
      <c r="E67" s="2" t="s">
        <v>169</v>
      </c>
      <c r="F67" s="2" t="s">
        <v>27</v>
      </c>
      <c r="G67" s="2" t="s">
        <v>14</v>
      </c>
      <c r="H67" s="2"/>
    </row>
    <row r="68" customFormat="false" ht="15" hidden="false" customHeight="false" outlineLevel="0" collapsed="false">
      <c r="A68" s="2" t="s">
        <v>163</v>
      </c>
      <c r="B68" s="2" t="s">
        <v>181</v>
      </c>
      <c r="C68" s="2" t="s">
        <v>182</v>
      </c>
      <c r="D68" s="2" t="s">
        <v>38</v>
      </c>
      <c r="E68" s="2" t="s">
        <v>169</v>
      </c>
      <c r="F68" s="2" t="s">
        <v>27</v>
      </c>
      <c r="G68" s="2" t="s">
        <v>14</v>
      </c>
      <c r="H68" s="2"/>
    </row>
    <row r="69" customFormat="false" ht="15" hidden="false" customHeight="false" outlineLevel="0" collapsed="false">
      <c r="A69" s="2" t="s">
        <v>163</v>
      </c>
      <c r="B69" s="2" t="s">
        <v>183</v>
      </c>
      <c r="C69" s="2" t="s">
        <v>184</v>
      </c>
      <c r="D69" s="2" t="s">
        <v>38</v>
      </c>
      <c r="E69" s="2" t="s">
        <v>169</v>
      </c>
      <c r="F69" s="2" t="s">
        <v>27</v>
      </c>
      <c r="G69" s="2" t="s">
        <v>14</v>
      </c>
      <c r="H69" s="2"/>
    </row>
    <row r="70" customFormat="false" ht="15" hidden="false" customHeight="false" outlineLevel="0" collapsed="false">
      <c r="A70" s="2" t="s">
        <v>163</v>
      </c>
      <c r="B70" s="2" t="s">
        <v>185</v>
      </c>
      <c r="C70" s="2" t="s">
        <v>186</v>
      </c>
      <c r="D70" s="2" t="s">
        <v>38</v>
      </c>
      <c r="E70" s="2" t="s">
        <v>169</v>
      </c>
      <c r="F70" s="2" t="s">
        <v>27</v>
      </c>
      <c r="G70" s="2" t="s">
        <v>14</v>
      </c>
      <c r="H70" s="2"/>
    </row>
    <row r="71" customFormat="false" ht="15" hidden="false" customHeight="false" outlineLevel="0" collapsed="false">
      <c r="A71" s="2" t="s">
        <v>163</v>
      </c>
      <c r="B71" s="2" t="s">
        <v>187</v>
      </c>
      <c r="C71" s="2" t="s">
        <v>188</v>
      </c>
      <c r="D71" s="2" t="s">
        <v>11</v>
      </c>
      <c r="E71" s="2" t="s">
        <v>169</v>
      </c>
      <c r="F71" s="2" t="s">
        <v>27</v>
      </c>
      <c r="G71" s="2" t="s">
        <v>14</v>
      </c>
      <c r="H71" s="2"/>
    </row>
    <row r="72" customFormat="false" ht="15" hidden="false" customHeight="false" outlineLevel="0" collapsed="false">
      <c r="A72" s="2" t="s">
        <v>163</v>
      </c>
      <c r="B72" s="2" t="s">
        <v>189</v>
      </c>
      <c r="C72" s="2" t="s">
        <v>190</v>
      </c>
      <c r="D72" s="2" t="s">
        <v>18</v>
      </c>
      <c r="E72" s="2" t="s">
        <v>169</v>
      </c>
      <c r="F72" s="2" t="s">
        <v>27</v>
      </c>
      <c r="G72" s="2" t="s">
        <v>14</v>
      </c>
      <c r="H72" s="2"/>
    </row>
    <row r="73" customFormat="false" ht="15" hidden="false" customHeight="false" outlineLevel="0" collapsed="false">
      <c r="A73" s="2" t="s">
        <v>163</v>
      </c>
      <c r="B73" s="2" t="s">
        <v>191</v>
      </c>
      <c r="C73" s="2" t="s">
        <v>192</v>
      </c>
      <c r="D73" s="2" t="s">
        <v>11</v>
      </c>
      <c r="E73" s="2" t="s">
        <v>193</v>
      </c>
      <c r="F73" s="2" t="s">
        <v>27</v>
      </c>
      <c r="G73" s="2" t="s">
        <v>14</v>
      </c>
      <c r="H73" s="2"/>
    </row>
    <row r="74" customFormat="false" ht="23.85" hidden="false" customHeight="false" outlineLevel="0" collapsed="false">
      <c r="A74" s="2" t="s">
        <v>163</v>
      </c>
      <c r="B74" s="2" t="s">
        <v>194</v>
      </c>
      <c r="C74" s="2" t="s">
        <v>195</v>
      </c>
      <c r="D74" s="2" t="s">
        <v>11</v>
      </c>
      <c r="E74" s="2" t="s">
        <v>193</v>
      </c>
      <c r="F74" s="2" t="s">
        <v>27</v>
      </c>
      <c r="G74" s="2" t="s">
        <v>14</v>
      </c>
      <c r="H74" s="2"/>
    </row>
    <row r="75" customFormat="false" ht="15" hidden="false" customHeight="false" outlineLevel="0" collapsed="false">
      <c r="A75" s="2" t="s">
        <v>163</v>
      </c>
      <c r="B75" s="2" t="s">
        <v>196</v>
      </c>
      <c r="C75" s="2" t="s">
        <v>197</v>
      </c>
      <c r="D75" s="2" t="s">
        <v>38</v>
      </c>
      <c r="E75" s="2" t="s">
        <v>193</v>
      </c>
      <c r="F75" s="2" t="s">
        <v>27</v>
      </c>
      <c r="G75" s="2" t="s">
        <v>14</v>
      </c>
      <c r="H75" s="2"/>
    </row>
    <row r="76" customFormat="false" ht="15" hidden="false" customHeight="false" outlineLevel="0" collapsed="false">
      <c r="A76" s="2" t="s">
        <v>163</v>
      </c>
      <c r="B76" s="2" t="s">
        <v>198</v>
      </c>
      <c r="C76" s="2" t="s">
        <v>199</v>
      </c>
      <c r="D76" s="2" t="s">
        <v>11</v>
      </c>
      <c r="E76" s="2" t="s">
        <v>193</v>
      </c>
      <c r="F76" s="2" t="s">
        <v>27</v>
      </c>
      <c r="G76" s="2" t="s">
        <v>14</v>
      </c>
      <c r="H76" s="2"/>
    </row>
    <row r="77" customFormat="false" ht="15" hidden="false" customHeight="false" outlineLevel="0" collapsed="false">
      <c r="A77" s="2" t="s">
        <v>163</v>
      </c>
      <c r="B77" s="2" t="s">
        <v>200</v>
      </c>
      <c r="C77" s="2" t="s">
        <v>201</v>
      </c>
      <c r="D77" s="2" t="s">
        <v>11</v>
      </c>
      <c r="E77" s="2" t="s">
        <v>169</v>
      </c>
      <c r="F77" s="2" t="s">
        <v>27</v>
      </c>
      <c r="G77" s="2" t="s">
        <v>14</v>
      </c>
      <c r="H77" s="2"/>
    </row>
    <row r="78" customFormat="false" ht="15" hidden="false" customHeight="false" outlineLevel="0" collapsed="false">
      <c r="A78" s="2" t="s">
        <v>202</v>
      </c>
      <c r="B78" s="2" t="s">
        <v>203</v>
      </c>
      <c r="C78" s="2" t="s">
        <v>204</v>
      </c>
      <c r="D78" s="2" t="s">
        <v>18</v>
      </c>
      <c r="E78" s="2" t="s">
        <v>205</v>
      </c>
      <c r="F78" s="2" t="s">
        <v>27</v>
      </c>
      <c r="G78" s="2" t="s">
        <v>14</v>
      </c>
      <c r="H78" s="2" t="s">
        <v>166</v>
      </c>
    </row>
    <row r="79" customFormat="false" ht="15" hidden="false" customHeight="false" outlineLevel="0" collapsed="false">
      <c r="A79" s="2" t="s">
        <v>202</v>
      </c>
      <c r="B79" s="2" t="s">
        <v>206</v>
      </c>
      <c r="C79" s="2" t="s">
        <v>207</v>
      </c>
      <c r="D79" s="2" t="s">
        <v>11</v>
      </c>
      <c r="E79" s="2" t="s">
        <v>205</v>
      </c>
      <c r="F79" s="2" t="s">
        <v>27</v>
      </c>
      <c r="G79" s="2" t="s">
        <v>14</v>
      </c>
      <c r="H79" s="2"/>
    </row>
    <row r="80" customFormat="false" ht="15" hidden="false" customHeight="false" outlineLevel="0" collapsed="false">
      <c r="A80" s="2" t="s">
        <v>202</v>
      </c>
      <c r="B80" s="2" t="s">
        <v>208</v>
      </c>
      <c r="C80" s="2" t="s">
        <v>209</v>
      </c>
      <c r="D80" s="2" t="s">
        <v>11</v>
      </c>
      <c r="E80" s="2" t="s">
        <v>205</v>
      </c>
      <c r="F80" s="2" t="s">
        <v>27</v>
      </c>
      <c r="G80" s="2" t="s">
        <v>14</v>
      </c>
      <c r="H80" s="2"/>
    </row>
    <row r="81" customFormat="false" ht="15" hidden="false" customHeight="false" outlineLevel="0" collapsed="false">
      <c r="A81" s="2" t="s">
        <v>202</v>
      </c>
      <c r="B81" s="2" t="s">
        <v>210</v>
      </c>
      <c r="C81" s="2" t="s">
        <v>211</v>
      </c>
      <c r="D81" s="2" t="s">
        <v>11</v>
      </c>
      <c r="E81" s="2" t="s">
        <v>205</v>
      </c>
      <c r="F81" s="2" t="s">
        <v>27</v>
      </c>
      <c r="G81" s="2" t="s">
        <v>14</v>
      </c>
      <c r="H81" s="2"/>
    </row>
    <row r="82" customFormat="false" ht="15" hidden="false" customHeight="false" outlineLevel="0" collapsed="false">
      <c r="A82" s="2" t="s">
        <v>202</v>
      </c>
      <c r="B82" s="2" t="s">
        <v>212</v>
      </c>
      <c r="C82" s="2" t="s">
        <v>213</v>
      </c>
      <c r="D82" s="2" t="s">
        <v>11</v>
      </c>
      <c r="E82" s="2" t="s">
        <v>205</v>
      </c>
      <c r="F82" s="2" t="s">
        <v>27</v>
      </c>
      <c r="G82" s="2" t="s">
        <v>14</v>
      </c>
      <c r="H82" s="2"/>
    </row>
    <row r="83" customFormat="false" ht="15" hidden="false" customHeight="false" outlineLevel="0" collapsed="false">
      <c r="A83" s="2" t="s">
        <v>202</v>
      </c>
      <c r="B83" s="2" t="s">
        <v>214</v>
      </c>
      <c r="C83" s="2" t="s">
        <v>215</v>
      </c>
      <c r="D83" s="2" t="s">
        <v>11</v>
      </c>
      <c r="E83" s="2" t="s">
        <v>205</v>
      </c>
      <c r="F83" s="2" t="s">
        <v>27</v>
      </c>
      <c r="G83" s="2" t="s">
        <v>14</v>
      </c>
      <c r="H83" s="2"/>
    </row>
    <row r="84" customFormat="false" ht="15" hidden="false" customHeight="false" outlineLevel="0" collapsed="false">
      <c r="A84" s="2" t="s">
        <v>202</v>
      </c>
      <c r="B84" s="2" t="s">
        <v>216</v>
      </c>
      <c r="C84" s="2" t="s">
        <v>217</v>
      </c>
      <c r="D84" s="2" t="s">
        <v>11</v>
      </c>
      <c r="E84" s="2" t="s">
        <v>205</v>
      </c>
      <c r="F84" s="2" t="s">
        <v>27</v>
      </c>
      <c r="G84" s="2" t="s">
        <v>14</v>
      </c>
      <c r="H84" s="2"/>
    </row>
    <row r="85" customFormat="false" ht="15" hidden="false" customHeight="false" outlineLevel="0" collapsed="false">
      <c r="A85" s="2" t="s">
        <v>218</v>
      </c>
      <c r="B85" s="2" t="s">
        <v>219</v>
      </c>
      <c r="C85" s="2" t="s">
        <v>220</v>
      </c>
      <c r="D85" s="2" t="s">
        <v>32</v>
      </c>
      <c r="E85" s="2" t="s">
        <v>12</v>
      </c>
      <c r="F85" s="2" t="s">
        <v>27</v>
      </c>
      <c r="G85" s="2" t="s">
        <v>14</v>
      </c>
      <c r="H85" s="2"/>
    </row>
    <row r="86" customFormat="false" ht="15" hidden="false" customHeight="false" outlineLevel="0" collapsed="false">
      <c r="A86" s="2" t="s">
        <v>218</v>
      </c>
      <c r="B86" s="2" t="s">
        <v>221</v>
      </c>
      <c r="C86" s="2" t="s">
        <v>222</v>
      </c>
      <c r="D86" s="2" t="s">
        <v>11</v>
      </c>
      <c r="E86" s="2" t="s">
        <v>12</v>
      </c>
      <c r="F86" s="2" t="s">
        <v>27</v>
      </c>
      <c r="G86" s="2" t="s">
        <v>14</v>
      </c>
      <c r="H86" s="2"/>
    </row>
    <row r="87" customFormat="false" ht="15" hidden="false" customHeight="false" outlineLevel="0" collapsed="false">
      <c r="A87" s="2" t="s">
        <v>218</v>
      </c>
      <c r="B87" s="2" t="s">
        <v>223</v>
      </c>
      <c r="C87" s="2" t="s">
        <v>224</v>
      </c>
      <c r="D87" s="2" t="s">
        <v>11</v>
      </c>
      <c r="E87" s="2" t="s">
        <v>12</v>
      </c>
      <c r="F87" s="2" t="s">
        <v>27</v>
      </c>
      <c r="G87" s="2" t="s">
        <v>14</v>
      </c>
      <c r="H87" s="2"/>
    </row>
    <row r="88" customFormat="false" ht="15" hidden="false" customHeight="false" outlineLevel="0" collapsed="false">
      <c r="A88" s="2" t="s">
        <v>218</v>
      </c>
      <c r="B88" s="2" t="s">
        <v>225</v>
      </c>
      <c r="C88" s="2" t="s">
        <v>226</v>
      </c>
      <c r="D88" s="2" t="s">
        <v>11</v>
      </c>
      <c r="E88" s="2" t="s">
        <v>12</v>
      </c>
      <c r="F88" s="2" t="s">
        <v>27</v>
      </c>
      <c r="G88" s="2" t="s">
        <v>14</v>
      </c>
      <c r="H88" s="2"/>
    </row>
    <row r="89" customFormat="false" ht="15" hidden="false" customHeight="false" outlineLevel="0" collapsed="false">
      <c r="A89" s="2" t="s">
        <v>218</v>
      </c>
      <c r="B89" s="2" t="s">
        <v>227</v>
      </c>
      <c r="C89" s="2" t="s">
        <v>228</v>
      </c>
      <c r="D89" s="2" t="s">
        <v>38</v>
      </c>
      <c r="E89" s="2" t="s">
        <v>12</v>
      </c>
      <c r="F89" s="2" t="s">
        <v>27</v>
      </c>
      <c r="G89" s="2" t="s">
        <v>14</v>
      </c>
      <c r="H89" s="2"/>
    </row>
    <row r="90" customFormat="false" ht="23.85" hidden="false" customHeight="false" outlineLevel="0" collapsed="false">
      <c r="A90" s="2" t="s">
        <v>229</v>
      </c>
      <c r="B90" s="2" t="s">
        <v>230</v>
      </c>
      <c r="C90" s="2" t="s">
        <v>231</v>
      </c>
      <c r="D90" s="2" t="s">
        <v>38</v>
      </c>
      <c r="E90" s="2" t="s">
        <v>12</v>
      </c>
      <c r="F90" s="2" t="s">
        <v>27</v>
      </c>
      <c r="G90" s="2" t="s">
        <v>14</v>
      </c>
      <c r="H90" s="2" t="s">
        <v>232</v>
      </c>
    </row>
    <row r="91" customFormat="false" ht="15" hidden="false" customHeight="false" outlineLevel="0" collapsed="false">
      <c r="A91" s="2" t="s">
        <v>229</v>
      </c>
      <c r="B91" s="2" t="s">
        <v>233</v>
      </c>
      <c r="C91" s="2" t="s">
        <v>234</v>
      </c>
      <c r="D91" s="2" t="s">
        <v>11</v>
      </c>
      <c r="E91" s="2" t="s">
        <v>235</v>
      </c>
      <c r="F91" s="2" t="s">
        <v>27</v>
      </c>
      <c r="G91" s="2" t="s">
        <v>14</v>
      </c>
      <c r="H91" s="2"/>
    </row>
    <row r="92" customFormat="false" ht="15" hidden="false" customHeight="false" outlineLevel="0" collapsed="false">
      <c r="A92" s="2" t="s">
        <v>236</v>
      </c>
      <c r="B92" s="2" t="s">
        <v>237</v>
      </c>
      <c r="C92" s="2" t="s">
        <v>238</v>
      </c>
      <c r="D92" s="2" t="s">
        <v>11</v>
      </c>
      <c r="E92" s="2" t="s">
        <v>12</v>
      </c>
      <c r="F92" s="2" t="s">
        <v>27</v>
      </c>
      <c r="G92" s="2" t="s">
        <v>14</v>
      </c>
      <c r="H92" s="2"/>
    </row>
    <row r="93" customFormat="false" ht="15" hidden="false" customHeight="false" outlineLevel="0" collapsed="false">
      <c r="A93" s="2" t="s">
        <v>236</v>
      </c>
      <c r="B93" s="2" t="s">
        <v>239</v>
      </c>
      <c r="C93" s="2" t="s">
        <v>240</v>
      </c>
      <c r="D93" s="2" t="s">
        <v>11</v>
      </c>
      <c r="E93" s="2" t="s">
        <v>12</v>
      </c>
      <c r="F93" s="2" t="s">
        <v>27</v>
      </c>
      <c r="G93" s="2" t="s">
        <v>14</v>
      </c>
      <c r="H93" s="2"/>
    </row>
    <row r="94" customFormat="false" ht="15" hidden="false" customHeight="false" outlineLevel="0" collapsed="false">
      <c r="A94" s="2" t="s">
        <v>236</v>
      </c>
      <c r="B94" s="2" t="s">
        <v>241</v>
      </c>
      <c r="C94" s="2" t="s">
        <v>242</v>
      </c>
      <c r="D94" s="2" t="s">
        <v>11</v>
      </c>
      <c r="E94" s="2" t="s">
        <v>12</v>
      </c>
      <c r="F94" s="2" t="s">
        <v>27</v>
      </c>
      <c r="G94" s="2" t="s">
        <v>14</v>
      </c>
      <c r="H94" s="2"/>
    </row>
    <row r="95" customFormat="false" ht="15" hidden="false" customHeight="false" outlineLevel="0" collapsed="false">
      <c r="A95" s="2" t="s">
        <v>236</v>
      </c>
      <c r="B95" s="2" t="s">
        <v>243</v>
      </c>
      <c r="C95" s="2" t="s">
        <v>244</v>
      </c>
      <c r="D95" s="2" t="s">
        <v>38</v>
      </c>
      <c r="E95" s="2" t="s">
        <v>12</v>
      </c>
      <c r="F95" s="2" t="s">
        <v>27</v>
      </c>
      <c r="G95" s="2" t="s">
        <v>14</v>
      </c>
      <c r="H95" s="2"/>
    </row>
  </sheetData>
  <autoFilter ref="A1:H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3" t="s">
        <v>245</v>
      </c>
    </row>
    <row r="3" customFormat="false" ht="15" hidden="false" customHeight="false" outlineLevel="0" collapsed="false">
      <c r="A3" s="0" t="s">
        <v>246</v>
      </c>
      <c r="B3" s="0" t="n">
        <f aca="false">COUNTA('Field Catalog'!C2:C95)</f>
        <v>94</v>
      </c>
    </row>
    <row r="5" customFormat="false" ht="15" hidden="false" customHeight="false" outlineLevel="0" collapsed="false">
      <c r="A5" s="4" t="s">
        <v>247</v>
      </c>
    </row>
    <row r="6" customFormat="false" ht="15" hidden="false" customHeight="false" outlineLevel="0" collapsed="false">
      <c r="A6" s="0" t="s">
        <v>27</v>
      </c>
      <c r="B6" s="0" t="n">
        <f aca="false">COUNTIF('Field Catalog'!F2:F95,"deal attribute (new)")</f>
        <v>85</v>
      </c>
    </row>
    <row r="7" customFormat="false" ht="15" hidden="false" customHeight="false" outlineLevel="0" collapsed="false">
      <c r="A7" s="0" t="s">
        <v>55</v>
      </c>
      <c r="B7" s="0" t="n">
        <f aca="false">COUNTIF('Field Catalog'!F2:F95,"company_systems")</f>
        <v>5</v>
      </c>
    </row>
    <row r="8" customFormat="false" ht="15" hidden="false" customHeight="false" outlineLevel="0" collapsed="false">
      <c r="A8" s="0" t="s">
        <v>13</v>
      </c>
      <c r="B8" s="0" t="n">
        <f aca="false">COUNTIF('Field Catalog'!F2:F95,"existing AE extraction")</f>
        <v>4</v>
      </c>
    </row>
    <row r="10" customFormat="false" ht="15" hidden="false" customHeight="false" outlineLevel="0" collapsed="false">
      <c r="A10" s="0" t="s">
        <v>248</v>
      </c>
      <c r="B10" s="0" t="n">
        <f aca="false">COUNTIF('Field Catalog'!E2:E95,"conditional*")</f>
        <v>24</v>
      </c>
    </row>
    <row r="11" customFormat="false" ht="15" hidden="false" customHeight="false" outlineLevel="0" collapsed="false">
      <c r="A11" s="0" t="s">
        <v>249</v>
      </c>
      <c r="B11" s="0" t="n">
        <f aca="false">COUNTIF('Field Catalog'!E2:E95,"always")</f>
        <v>70</v>
      </c>
    </row>
    <row r="13" customFormat="false" ht="15" hidden="false" customHeight="false" outlineLevel="0" collapsed="false">
      <c r="A13" s="5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2026-06-09T21:18:39Z</dcterms:created>
  <dc:creator>openpyxl</dc:creator>
  <dc:description/>
  <dc:language>en-US</dc:language>
  <cp:lastModifiedBy/>
  <dcterms:modified xsi:type="dcterms:W3CDTF">2026-06-09T21:18:39Z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